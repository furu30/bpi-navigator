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次推移（並製）" sheetId="1" state="visible" r:id="rId3"/>
    <sheet name="月次推移（上製）" sheetId="2" state="visible" r:id="rId4"/>
    <sheet name="月次推移（合計）" sheetId="3" state="visible" r:id="rId5"/>
    <sheet name="4月" sheetId="4" state="visible" r:id="rId6"/>
    <sheet name="5月" sheetId="5" state="visible" r:id="rId7"/>
    <sheet name="6月" sheetId="6" state="visible" r:id="rId8"/>
    <sheet name="7月" sheetId="7" state="visible" r:id="rId9"/>
    <sheet name="8月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<sst xmlns="http://schemas.openxmlformats.org/spreadsheetml/2006/main" count="1609" uniqueCount="139">
  <si>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月次推移（並製）</t>
    </r>
  </si>
  <si>
    <r>
      <rPr>
        <sz val="9"/>
        <color rgb="FF595959"/>
        <rFont val="Meiryo UI"/>
        <family val="2"/>
      </rPr>
      <t xml:space="preserve">各月シートの「並製」列を参照。累計列は合計（人数・点数・部数・平均ロットは</t>
    </r>
    <r>
      <rPr>
        <sz val="9"/>
        <color rgb="FF595959"/>
        <rFont val="Meiryo UI"/>
        <family val="0"/>
        <charset val="1"/>
      </rPr>
      <t xml:space="preserve">5</t>
    </r>
    <r>
      <rPr>
        <sz val="9"/>
        <color rgb="FF595959"/>
        <rFont val="Meiryo UI"/>
        <family val="2"/>
      </rPr>
      <t xml:space="preserve">か月平均）。緑字＝各月シートへの参照式</t>
    </r>
  </si>
  <si>
    <t xml:space="preserve">項目</t>
  </si>
  <si>
    <r>
      <rPr>
        <b val="true"/>
        <sz val="10"/>
        <rFont val="Meiryo UI"/>
        <family val="0"/>
        <charset val="1"/>
      </rPr>
      <t xml:space="preserve">4</t>
    </r>
    <r>
      <rPr>
        <b val="true"/>
        <sz val="10"/>
        <rFont val="Meiryo UI"/>
        <family val="2"/>
      </rPr>
      <t xml:space="preserve">月</t>
    </r>
  </si>
  <si>
    <r>
      <rPr>
        <b val="true"/>
        <sz val="10"/>
        <rFont val="Meiryo UI"/>
        <family val="0"/>
        <charset val="1"/>
      </rPr>
      <t xml:space="preserve">5</t>
    </r>
    <r>
      <rPr>
        <b val="true"/>
        <sz val="10"/>
        <rFont val="Meiryo UI"/>
        <family val="2"/>
      </rPr>
      <t xml:space="preserve">月</t>
    </r>
  </si>
  <si>
    <r>
      <rPr>
        <b val="true"/>
        <sz val="10"/>
        <rFont val="Meiryo UI"/>
        <family val="0"/>
        <charset val="1"/>
      </rPr>
      <t xml:space="preserve">6</t>
    </r>
    <r>
      <rPr>
        <b val="true"/>
        <sz val="10"/>
        <rFont val="Meiryo UI"/>
        <family val="2"/>
      </rPr>
      <t xml:space="preserve">月</t>
    </r>
  </si>
  <si>
    <r>
      <rPr>
        <b val="true"/>
        <sz val="10"/>
        <rFont val="Meiryo UI"/>
        <family val="0"/>
        <charset val="1"/>
      </rPr>
      <t xml:space="preserve">7</t>
    </r>
    <r>
      <rPr>
        <b val="true"/>
        <sz val="10"/>
        <rFont val="Meiryo UI"/>
        <family val="2"/>
      </rPr>
      <t xml:space="preserve">月</t>
    </r>
  </si>
  <si>
    <r>
      <rPr>
        <b val="true"/>
        <sz val="10"/>
        <rFont val="Meiryo UI"/>
        <family val="0"/>
        <charset val="1"/>
      </rPr>
      <t xml:space="preserve">8</t>
    </r>
    <r>
      <rPr>
        <b val="true"/>
        <sz val="10"/>
        <rFont val="Meiryo UI"/>
        <family val="2"/>
      </rPr>
      <t xml:space="preserve">月</t>
    </r>
  </si>
  <si>
    <t xml:space="preserve">累計</t>
  </si>
  <si>
    <t xml:space="preserve">製本加工収入</t>
  </si>
  <si>
    <t xml:space="preserve">断裁屑売上</t>
  </si>
  <si>
    <t xml:space="preserve">加工料値引高</t>
  </si>
  <si>
    <t xml:space="preserve">純売上高</t>
  </si>
  <si>
    <t xml:space="preserve">人数（人）</t>
  </si>
  <si>
    <t xml:space="preserve">点数（点）</t>
  </si>
  <si>
    <t xml:space="preserve">部数（部）</t>
  </si>
  <si>
    <t xml:space="preserve">平均ロット（部）</t>
  </si>
  <si>
    <t xml:space="preserve">☆</t>
  </si>
  <si>
    <t xml:space="preserve">材料費計</t>
  </si>
  <si>
    <t xml:space="preserve">内材料</t>
  </si>
  <si>
    <t xml:space="preserve">外材料</t>
  </si>
  <si>
    <t xml:space="preserve">賃金手当</t>
  </si>
  <si>
    <t xml:space="preserve">退職金</t>
  </si>
  <si>
    <t xml:space="preserve">法定福利費</t>
  </si>
  <si>
    <t xml:space="preserve">福利厚生費</t>
  </si>
  <si>
    <t xml:space="preserve">研修生管理費</t>
  </si>
  <si>
    <t xml:space="preserve">技術指導料</t>
  </si>
  <si>
    <t xml:space="preserve">△</t>
  </si>
  <si>
    <t xml:space="preserve">労務費計</t>
  </si>
  <si>
    <t xml:space="preserve">外注加工費</t>
  </si>
  <si>
    <t xml:space="preserve">折</t>
  </si>
  <si>
    <t xml:space="preserve">丁合</t>
  </si>
  <si>
    <t xml:space="preserve">綴</t>
  </si>
  <si>
    <t xml:space="preserve">表紙</t>
  </si>
  <si>
    <t xml:space="preserve">箔押</t>
  </si>
  <si>
    <t xml:space="preserve">その他</t>
  </si>
  <si>
    <t xml:space="preserve">仕上外注</t>
  </si>
  <si>
    <t xml:space="preserve">動力費</t>
  </si>
  <si>
    <t xml:space="preserve">保険料</t>
  </si>
  <si>
    <t xml:space="preserve">修理費</t>
  </si>
  <si>
    <t xml:space="preserve">減価償却費</t>
  </si>
  <si>
    <t xml:space="preserve">運搬費</t>
  </si>
  <si>
    <t xml:space="preserve">消耗品費</t>
  </si>
  <si>
    <t xml:space="preserve">水道光熱費</t>
  </si>
  <si>
    <t xml:space="preserve">租税公課</t>
  </si>
  <si>
    <t xml:space="preserve">消耗備品費</t>
  </si>
  <si>
    <t xml:space="preserve">包丁研磨費</t>
  </si>
  <si>
    <t xml:space="preserve">燃料油脂費</t>
  </si>
  <si>
    <t xml:space="preserve">雑費</t>
  </si>
  <si>
    <t xml:space="preserve">機械リース料</t>
  </si>
  <si>
    <t xml:space="preserve">製造経費計</t>
  </si>
  <si>
    <t xml:space="preserve">当期製造原価</t>
  </si>
  <si>
    <t xml:space="preserve">売上原価計</t>
  </si>
  <si>
    <t xml:space="preserve">売上総利益</t>
  </si>
  <si>
    <t xml:space="preserve">役員報酬</t>
  </si>
  <si>
    <t xml:space="preserve">給料手当</t>
  </si>
  <si>
    <t xml:space="preserve">旅費交通費</t>
  </si>
  <si>
    <t xml:space="preserve">通信費</t>
  </si>
  <si>
    <t xml:space="preserve">広告宣伝費</t>
  </si>
  <si>
    <t xml:space="preserve">交際費</t>
  </si>
  <si>
    <t xml:space="preserve">会議費</t>
  </si>
  <si>
    <t xml:space="preserve">新聞図書費</t>
  </si>
  <si>
    <t xml:space="preserve">支払手数料</t>
  </si>
  <si>
    <t xml:space="preserve">諸会費</t>
  </si>
  <si>
    <t xml:space="preserve">事務機器リース料</t>
  </si>
  <si>
    <t xml:space="preserve">修繕費</t>
  </si>
  <si>
    <t xml:space="preserve">事務用品費</t>
  </si>
  <si>
    <t xml:space="preserve">賦課金</t>
  </si>
  <si>
    <t xml:space="preserve">印刷費</t>
  </si>
  <si>
    <t xml:space="preserve">顧問料</t>
  </si>
  <si>
    <t xml:space="preserve">教育研究費</t>
  </si>
  <si>
    <t xml:space="preserve">地代家賃</t>
  </si>
  <si>
    <t xml:space="preserve">販管費計</t>
  </si>
  <si>
    <t xml:space="preserve">営業損益</t>
  </si>
  <si>
    <t xml:space="preserve">受取利息</t>
  </si>
  <si>
    <t xml:space="preserve">受取配当金</t>
  </si>
  <si>
    <t xml:space="preserve">賃貸料収入</t>
  </si>
  <si>
    <t xml:space="preserve">雑収入</t>
  </si>
  <si>
    <t xml:space="preserve">営業外収益</t>
  </si>
  <si>
    <t xml:space="preserve">支払利息</t>
  </si>
  <si>
    <t xml:space="preserve">割引料</t>
  </si>
  <si>
    <t xml:space="preserve">繰延資産償却</t>
  </si>
  <si>
    <t xml:space="preserve">営業外費用</t>
  </si>
  <si>
    <t xml:space="preserve">経常損益</t>
  </si>
  <si>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月次推移（上製）</t>
    </r>
  </si>
  <si>
    <r>
      <rPr>
        <sz val="9"/>
        <color rgb="FF595959"/>
        <rFont val="Meiryo UI"/>
        <family val="2"/>
      </rPr>
      <t xml:space="preserve">各月シートの「上製」列を参照。累計列は合計（人数・点数・部数・平均ロットは</t>
    </r>
    <r>
      <rPr>
        <sz val="9"/>
        <color rgb="FF595959"/>
        <rFont val="Meiryo UI"/>
        <family val="0"/>
        <charset val="1"/>
      </rPr>
      <t xml:space="preserve">5</t>
    </r>
    <r>
      <rPr>
        <sz val="9"/>
        <color rgb="FF595959"/>
        <rFont val="Meiryo UI"/>
        <family val="2"/>
      </rPr>
      <t xml:space="preserve">か月平均）。緑字＝各月シートへの参照式</t>
    </r>
  </si>
  <si>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月次推移（合計）</t>
    </r>
  </si>
  <si>
    <r>
      <rPr>
        <sz val="9"/>
        <color rgb="FF595959"/>
        <rFont val="Meiryo UI"/>
        <family val="2"/>
      </rPr>
      <t xml:space="preserve">各月シートの「小計」列（上製＋並製）を参照。材料仕入高のみ原本「合計」列。累計列は合計（人数・点数・部数・平均ロットは</t>
    </r>
    <r>
      <rPr>
        <sz val="9"/>
        <color rgb="FF595959"/>
        <rFont val="Meiryo UI"/>
        <family val="0"/>
        <charset val="1"/>
      </rPr>
      <t xml:space="preserve">5</t>
    </r>
    <r>
      <rPr>
        <sz val="9"/>
        <color rgb="FF595959"/>
        <rFont val="Meiryo UI"/>
        <family val="2"/>
      </rPr>
      <t xml:space="preserve">か月平均）。緑字＝各月シートへの参照式</t>
    </r>
  </si>
  <si>
    <t xml:space="preserve">材料仕入高</t>
  </si>
  <si>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</t>
    </r>
    <r>
      <rPr>
        <b val="true"/>
        <sz val="14"/>
        <rFont val="Meiryo UI"/>
        <family val="0"/>
        <charset val="1"/>
      </rPr>
      <t xml:space="preserve">4</t>
    </r>
    <r>
      <rPr>
        <b val="true"/>
        <sz val="14"/>
        <rFont val="Meiryo UI"/>
        <family val="2"/>
      </rPr>
      <t xml:space="preserve">月分</t>
    </r>
  </si>
  <si>
    <r>
      <rPr>
        <sz val="9"/>
        <color rgb="FF595959"/>
        <rFont val="Meiryo UI"/>
        <family val="2"/>
      </rPr>
      <t xml:space="preserve">出力日：</t>
    </r>
    <r>
      <rPr>
        <sz val="9"/>
        <color rgb="FF595959"/>
        <rFont val="Meiryo UI"/>
        <family val="0"/>
        <charset val="1"/>
      </rPr>
      <t xml:space="preserve">07-Oct-26</t>
    </r>
    <r>
      <rPr>
        <sz val="9"/>
        <color rgb="FF595959"/>
        <rFont val="Meiryo UI"/>
        <family val="2"/>
      </rPr>
      <t xml:space="preserve">　　☆ 変動費　△ 固定費　○ 入力　　※原本で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Meiryo UI"/>
        <family val="2"/>
      </rPr>
      <t xml:space="preserve">除算エラー表示のセルは「－」で表示</t>
    </r>
  </si>
  <si>
    <t xml:space="preserve">集計</t>
  </si>
  <si>
    <t xml:space="preserve">上製</t>
  </si>
  <si>
    <t xml:space="preserve">並製</t>
  </si>
  <si>
    <t xml:space="preserve">共通</t>
  </si>
  <si>
    <t xml:space="preserve">合計</t>
  </si>
  <si>
    <t xml:space="preserve">区分</t>
  </si>
  <si>
    <t xml:space="preserve">構成比</t>
  </si>
  <si>
    <t xml:space="preserve">小計</t>
  </si>
  <si>
    <t xml:space="preserve">上製比率</t>
  </si>
  <si>
    <t xml:space="preserve">並製比率</t>
  </si>
  <si>
    <t xml:space="preserve">売上高</t>
  </si>
  <si>
    <t xml:space="preserve">*</t>
  </si>
  <si>
    <r>
      <rPr>
        <sz val="10"/>
        <rFont val="Meiryo UI"/>
        <family val="2"/>
      </rPr>
      <t xml:space="preserve">売上高</t>
    </r>
    <r>
      <rPr>
        <sz val="10"/>
        <rFont val="Meiryo UI"/>
        <family val="0"/>
        <charset val="1"/>
      </rPr>
      <t xml:space="preserve">%</t>
    </r>
  </si>
  <si>
    <t xml:space="preserve">人数</t>
  </si>
  <si>
    <r>
      <rPr>
        <sz val="10"/>
        <rFont val="Meiryo UI"/>
        <family val="2"/>
      </rPr>
      <t xml:space="preserve">人数</t>
    </r>
    <r>
      <rPr>
        <sz val="10"/>
        <rFont val="Meiryo UI"/>
        <family val="0"/>
        <charset val="1"/>
      </rPr>
      <t xml:space="preserve">%</t>
    </r>
  </si>
  <si>
    <t xml:space="preserve">点数</t>
  </si>
  <si>
    <r>
      <rPr>
        <sz val="10"/>
        <rFont val="Meiryo UI"/>
        <family val="2"/>
      </rPr>
      <t xml:space="preserve">点数</t>
    </r>
    <r>
      <rPr>
        <sz val="10"/>
        <rFont val="Meiryo UI"/>
        <family val="0"/>
        <charset val="1"/>
      </rPr>
      <t xml:space="preserve">%</t>
    </r>
  </si>
  <si>
    <t xml:space="preserve">部数</t>
  </si>
  <si>
    <r>
      <rPr>
        <sz val="10"/>
        <rFont val="Meiryo UI"/>
        <family val="2"/>
      </rPr>
      <t xml:space="preserve">部数</t>
    </r>
    <r>
      <rPr>
        <sz val="10"/>
        <rFont val="Meiryo UI"/>
        <family val="0"/>
        <charset val="1"/>
      </rPr>
      <t xml:space="preserve">%</t>
    </r>
  </si>
  <si>
    <t xml:space="preserve">労務費</t>
  </si>
  <si>
    <t xml:space="preserve">－</t>
  </si>
  <si>
    <t xml:space="preserve">加工料値引</t>
  </si>
  <si>
    <t xml:space="preserve">DATA</t>
  </si>
  <si>
    <t xml:space="preserve">DATA %</t>
  </si>
  <si>
    <t xml:space="preserve">目安</t>
  </si>
  <si>
    <r>
      <rPr>
        <sz val="10"/>
        <rFont val="Meiryo UI"/>
        <family val="0"/>
        <charset val="1"/>
      </rPr>
      <t xml:space="preserve">1</t>
    </r>
    <r>
      <rPr>
        <sz val="10"/>
        <rFont val="Meiryo UI"/>
        <family val="2"/>
      </rPr>
      <t xml:space="preserve">人あたり加工高</t>
    </r>
  </si>
  <si>
    <r>
      <rPr>
        <sz val="10"/>
        <rFont val="Meiryo UI"/>
        <family val="0"/>
        <charset val="1"/>
      </rPr>
      <t xml:space="preserve">1</t>
    </r>
    <r>
      <rPr>
        <sz val="10"/>
        <rFont val="Meiryo UI"/>
        <family val="2"/>
      </rPr>
      <t xml:space="preserve">冊あたり平均単価（運送賃含む）</t>
    </r>
  </si>
  <si>
    <r>
      <rPr>
        <sz val="10"/>
        <rFont val="Meiryo UI"/>
        <family val="0"/>
        <charset val="1"/>
      </rPr>
      <t xml:space="preserve">1</t>
    </r>
    <r>
      <rPr>
        <sz val="10"/>
        <rFont val="Meiryo UI"/>
        <family val="2"/>
      </rPr>
      <t xml:space="preserve">冊あたり平均単価（加工収入のみ</t>
    </r>
    <r>
      <rPr>
        <sz val="10"/>
        <rFont val="Meiryo UI"/>
        <family val="0"/>
        <charset val="1"/>
      </rPr>
      <t xml:space="preserve">)</t>
    </r>
  </si>
  <si>
    <r>
      <rPr>
        <sz val="10"/>
        <rFont val="Meiryo UI"/>
        <family val="0"/>
        <charset val="1"/>
      </rPr>
      <t xml:space="preserve">1</t>
    </r>
    <r>
      <rPr>
        <sz val="10"/>
        <rFont val="Meiryo UI"/>
        <family val="2"/>
      </rPr>
      <t xml:space="preserve">人あたり平均給与</t>
    </r>
  </si>
  <si>
    <r>
      <rPr>
        <sz val="10"/>
        <rFont val="Meiryo UI"/>
        <family val="0"/>
        <charset val="1"/>
      </rPr>
      <t xml:space="preserve">1</t>
    </r>
    <r>
      <rPr>
        <sz val="10"/>
        <rFont val="Meiryo UI"/>
        <family val="2"/>
      </rPr>
      <t xml:space="preserve">人あたり人件費</t>
    </r>
  </si>
  <si>
    <t xml:space="preserve">部門別損益分岐点売上高</t>
  </si>
  <si>
    <t xml:space="preserve">部門別売上高</t>
  </si>
  <si>
    <t xml:space="preserve">余裕率</t>
  </si>
  <si>
    <r>
      <rPr>
        <sz val="9"/>
        <color rgb="FFE0007A"/>
        <rFont val="Meiryo UI"/>
        <family val="0"/>
        <charset val="1"/>
      </rPr>
      <t xml:space="preserve">10%</t>
    </r>
    <r>
      <rPr>
        <sz val="9"/>
        <color rgb="FFE0007A"/>
        <rFont val="Meiryo UI"/>
        <family val="2"/>
      </rPr>
      <t xml:space="preserve">以上</t>
    </r>
  </si>
  <si>
    <t xml:space="preserve">加工高対人件費比率</t>
  </si>
  <si>
    <r>
      <rPr>
        <sz val="9"/>
        <color rgb="FFE0007A"/>
        <rFont val="Meiryo UI"/>
        <family val="0"/>
        <charset val="1"/>
      </rPr>
      <t xml:space="preserve">40%</t>
    </r>
    <r>
      <rPr>
        <sz val="9"/>
        <color rgb="FFE0007A"/>
        <rFont val="Meiryo UI"/>
        <family val="2"/>
      </rPr>
      <t xml:space="preserve">以下</t>
    </r>
  </si>
  <si>
    <r>
      <rPr>
        <sz val="10"/>
        <rFont val="Meiryo UI"/>
        <family val="0"/>
        <charset val="1"/>
      </rPr>
      <t xml:space="preserve">1</t>
    </r>
    <r>
      <rPr>
        <sz val="10"/>
        <rFont val="Meiryo UI"/>
        <family val="2"/>
      </rPr>
      <t xml:space="preserve">人あたり加工高対給与比率</t>
    </r>
  </si>
  <si>
    <r>
      <rPr>
        <sz val="9"/>
        <color rgb="FFE0007A"/>
        <rFont val="Meiryo UI"/>
        <family val="2"/>
      </rPr>
      <t xml:space="preserve">給与の</t>
    </r>
    <r>
      <rPr>
        <sz val="9"/>
        <color rgb="FFE0007A"/>
        <rFont val="Meiryo UI"/>
        <family val="0"/>
        <charset val="1"/>
      </rPr>
      <t xml:space="preserve">3</t>
    </r>
    <r>
      <rPr>
        <sz val="9"/>
        <color rgb="FFE0007A"/>
        <rFont val="Meiryo UI"/>
        <family val="2"/>
      </rPr>
      <t xml:space="preserve">倍</t>
    </r>
  </si>
  <si>
    <t xml:space="preserve">損益分岐点比率</t>
  </si>
  <si>
    <r>
      <rPr>
        <sz val="9"/>
        <color rgb="FFE0007A"/>
        <rFont val="Meiryo UI"/>
        <family val="0"/>
        <charset val="1"/>
      </rPr>
      <t xml:space="preserve">85%</t>
    </r>
    <r>
      <rPr>
        <sz val="9"/>
        <color rgb="FFE0007A"/>
        <rFont val="Meiryo UI"/>
        <family val="2"/>
      </rPr>
      <t xml:space="preserve">以下</t>
    </r>
  </si>
  <si>
    <t xml:space="preserve">損益分岐点必要部数</t>
  </si>
  <si>
    <t xml:space="preserve">平均単価の時</t>
  </si>
  <si>
    <t xml:space="preserve">売上高対経常利益率</t>
  </si>
  <si>
    <r>
      <rPr>
        <sz val="9"/>
        <color rgb="FFE0007A"/>
        <rFont val="Meiryo UI"/>
        <family val="2"/>
      </rPr>
      <t xml:space="preserve">目標</t>
    </r>
    <r>
      <rPr>
        <sz val="9"/>
        <color rgb="FFE0007A"/>
        <rFont val="Meiryo UI"/>
        <family val="0"/>
        <charset val="1"/>
      </rPr>
      <t xml:space="preserve">3%</t>
    </r>
    <r>
      <rPr>
        <sz val="9"/>
        <color rgb="FFE0007A"/>
        <rFont val="Meiryo UI"/>
        <family val="2"/>
      </rPr>
      <t xml:space="preserve">以上</t>
    </r>
  </si>
  <si>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</t>
    </r>
    <r>
      <rPr>
        <b val="true"/>
        <sz val="14"/>
        <rFont val="Meiryo UI"/>
        <family val="0"/>
        <charset val="1"/>
      </rPr>
      <t xml:space="preserve">5</t>
    </r>
    <r>
      <rPr>
        <b val="true"/>
        <sz val="14"/>
        <rFont val="Meiryo UI"/>
        <family val="2"/>
      </rPr>
      <t xml:space="preserve">月分</t>
    </r>
  </si>
  <si>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</t>
    </r>
    <r>
      <rPr>
        <b val="true"/>
        <sz val="14"/>
        <rFont val="Meiryo UI"/>
        <family val="0"/>
        <charset val="1"/>
      </rPr>
      <t xml:space="preserve">6</t>
    </r>
    <r>
      <rPr>
        <b val="true"/>
        <sz val="14"/>
        <rFont val="Meiryo UI"/>
        <family val="2"/>
      </rPr>
      <t xml:space="preserve">月分</t>
    </r>
  </si>
  <si>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</t>
    </r>
    <r>
      <rPr>
        <b val="true"/>
        <sz val="14"/>
        <rFont val="Meiryo UI"/>
        <family val="0"/>
        <charset val="1"/>
      </rPr>
      <t xml:space="preserve">7</t>
    </r>
    <r>
      <rPr>
        <b val="true"/>
        <sz val="14"/>
        <rFont val="Meiryo UI"/>
        <family val="2"/>
      </rPr>
      <t xml:space="preserve">月分</t>
    </r>
  </si>
  <si>
    <r>
      <rPr>
        <b val="true"/>
        <sz val="14"/>
        <rFont val="Meiryo UI"/>
        <family val="0"/>
        <charset val="1"/>
      </rPr>
      <t xml:space="preserve">R8</t>
    </r>
    <r>
      <rPr>
        <b val="true"/>
        <sz val="14"/>
        <rFont val="Meiryo UI"/>
        <family val="2"/>
      </rPr>
      <t xml:space="preserve">年度　部門別原価計算書　</t>
    </r>
    <r>
      <rPr>
        <b val="true"/>
        <sz val="14"/>
        <rFont val="Meiryo UI"/>
        <family val="0"/>
        <charset val="1"/>
      </rPr>
      <t xml:space="preserve">8</t>
    </r>
    <r>
      <rPr>
        <b val="true"/>
        <sz val="14"/>
        <rFont val="Meiryo UI"/>
        <family val="2"/>
      </rPr>
      <t xml:space="preserve">月分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</si>
</sst>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-#,##0"/>
    <numFmt numFmtId="166" formatCode="0.0%"/>
    <numFmt numFmtId="167" formatCode="0.00%"/>
    <numFmt numFmtId="168" formatCode="\¥#,##0"/>
    <numFmt numFmtId="169" formatCode="\¥#,##0.00"/>
  </numFmts>
  <fonts count="19">
    <font>
      <sz val="11"/>
      <color theme="1"/>
      <name val="Meiryo UI"/>
      <family val="2"/>
      <charset val="1"/>
    </font>
    <font>
      <sz val="10"/>
      <name val="Meiryo UI"/>
      <family val="0"/>
    </font>
    <font>
      <sz val="10"/>
      <name val="Meiryo UI"/>
      <family val="0"/>
    </font>
    <font>
      <sz val="10"/>
      <name val="Meiryo UI"/>
      <family val="0"/>
    </font>
    <font>
      <b val="true"/>
      <sz val="14"/>
      <name val="Meiryo UI"/>
      <family val="0"/>
      <charset val="1"/>
    </font>
    <font>
      <b val="true"/>
      <sz val="14"/>
      <name val="Meiryo UI"/>
      <family val="2"/>
    </font>
    <font>
      <sz val="9"/>
      <color rgb="FF595959"/>
      <name val="Meiryo UI"/>
      <family val="2"/>
    </font>
    <font>
      <sz val="9"/>
      <color rgb="FF595959"/>
      <name val="Meiryo UI"/>
      <family val="0"/>
      <charset val="1"/>
    </font>
    <font>
      <b val="true"/>
      <sz val="10"/>
      <name val="Meiryo UI"/>
      <family val="0"/>
      <charset val="1"/>
    </font>
    <font>
      <b val="true"/>
      <sz val="10"/>
      <name val="Meiryo UI"/>
      <family val="2"/>
    </font>
    <font>
      <sz val="10"/>
      <name val="Meiryo UI"/>
      <family val="0"/>
      <charset val="1"/>
    </font>
    <font>
      <sz val="10"/>
      <name val="Meiryo UI"/>
      <family val="2"/>
    </font>
    <font>
      <sz val="10"/>
      <color rgb="FF008000"/>
      <name val="Meiryo UI"/>
      <family val="0"/>
      <charset val="1"/>
    </font>
    <font>
      <b val="true"/>
      <sz val="10"/>
      <color rgb="FF008000"/>
      <name val="Meiryo UI"/>
      <family val="0"/>
      <charset val="1"/>
    </font>
    <font>
      <sz val="10"/>
      <color rgb="FF808080"/>
      <name val="Meiryo UI"/>
      <family val="2"/>
    </font>
    <font>
      <b val="true"/>
      <sz val="10"/>
      <color rgb="FFC00000"/>
      <name val="Meiryo UI"/>
      <family val="0"/>
      <charset val="1"/>
    </font>
    <font>
      <sz val="9"/>
      <color rgb="FFE0007A"/>
      <name val="Meiryo UI"/>
      <family val="0"/>
      <charset val="1"/>
    </font>
    <font>
      <sz val="10"/>
      <color rgb="FFC00000"/>
      <name val="Meiryo UI"/>
      <family val="0"/>
      <charset val="1"/>
    </font>
    <font>
      <sz val="9"/>
      <color rgb="FFE0007A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F5E6A8"/>
        <bgColor rgb="FFF8CBAD"/>
      </patternFill>
    </fill>
    <fill>
      <patternFill patternType="solid">
        <fgColor rgb="FFDDEBF7"/>
        <bgColor rgb="FFC9DAF0"/>
      </patternFill>
    </fill>
    <fill>
      <patternFill patternType="solid">
        <fgColor rgb="FFC9DAF0"/>
        <bgColor rgb="FFD9C8E8"/>
      </patternFill>
    </fill>
    <fill>
      <patternFill patternType="solid">
        <fgColor rgb="FFF8CBAD"/>
        <bgColor rgb="FFF5E6A8"/>
      </patternFill>
    </fill>
    <fill>
      <patternFill patternType="solid">
        <fgColor rgb="FFD9C8E8"/>
        <bgColor rgb="FFC9DA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E0007A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C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A8"/>
      <rgbColor rgb="FFC9DAF0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 pitchFamily="0" charset="1"/>
        <a:ea typeface="Meiryo UI"/>
        <a:cs typeface=""/>
      </a:majorFont>
      <a:minorFont>
        <a:latin typeface="Meiryo UI" pitchFamily="0" charset="1"/>
        <a:ea typeface="Meiryo UI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customFormat="false" ht="15" hidden="false" customHeight="false" outlineLevel="0" collapsed="false">
      <c r="A5" s="5"/>
      <c r="B5" s="6" t="s">
        <v>9</v>
      </c>
      <c r="C5" s="7" t="n">
        <f aca="false">4月!L5</f>
        <v>35800894</v>
      </c>
      <c r="D5" s="7" t="n">
        <f aca="false">5月!L5</f>
        <v>30390251</v>
      </c>
      <c r="E5" s="7" t="n">
        <f aca="false">6月!L5</f>
        <v>49069124</v>
      </c>
      <c r="F5" s="7" t="n">
        <f aca="false">7月!L5</f>
        <v>28272359</v>
      </c>
      <c r="G5" s="7" t="n">
        <f aca="false">8月!L5</f>
        <v>34855322</v>
      </c>
      <c r="H5" s="8" t="n">
        <f aca="false">SUM(C5:G5)</f>
        <v>178387950</v>
      </c>
    </row>
    <row r="6" customFormat="false" ht="15" hidden="false" customHeight="false" outlineLevel="0" collapsed="false">
      <c r="A6" s="5"/>
      <c r="B6" s="6" t="s">
        <v>10</v>
      </c>
      <c r="C6" s="7" t="n">
        <f aca="false">4月!L6</f>
        <v>534981</v>
      </c>
      <c r="D6" s="7" t="n">
        <f aca="false">5月!L6</f>
        <v>377053</v>
      </c>
      <c r="E6" s="7" t="n">
        <f aca="false">6月!L6</f>
        <v>366602</v>
      </c>
      <c r="F6" s="7" t="n">
        <f aca="false">7月!L6</f>
        <v>457617</v>
      </c>
      <c r="G6" s="7" t="n">
        <f aca="false">8月!L6</f>
        <v>469734</v>
      </c>
      <c r="H6" s="8" t="n">
        <f aca="false">SUM(C6:G6)</f>
        <v>2205987</v>
      </c>
    </row>
    <row r="7" customFormat="false" ht="15" hidden="false" customHeight="false" outlineLevel="0" collapsed="false">
      <c r="A7" s="5"/>
      <c r="B7" s="6" t="s">
        <v>11</v>
      </c>
      <c r="C7" s="7" t="n">
        <f aca="false">4月!L7</f>
        <v>377532</v>
      </c>
      <c r="D7" s="7" t="n">
        <f aca="false">5月!L7</f>
        <v>87856</v>
      </c>
      <c r="E7" s="7" t="n">
        <f aca="false">6月!L7</f>
        <v>4084</v>
      </c>
      <c r="F7" s="7" t="n">
        <f aca="false">7月!L7</f>
        <v>1986</v>
      </c>
      <c r="G7" s="7" t="n">
        <f aca="false">8月!L7</f>
        <v>51788</v>
      </c>
      <c r="H7" s="8" t="n">
        <f aca="false">SUM(C7:G7)</f>
        <v>523246</v>
      </c>
    </row>
    <row r="8" customFormat="false" ht="15" hidden="false" customHeight="false" outlineLevel="0" collapsed="false">
      <c r="A8" s="5"/>
      <c r="B8" s="9" t="s">
        <v>12</v>
      </c>
      <c r="C8" s="10" t="n">
        <f aca="false">4月!L8</f>
        <v>35958343</v>
      </c>
      <c r="D8" s="10" t="n">
        <f aca="false">5月!L8</f>
        <v>30679448</v>
      </c>
      <c r="E8" s="10" t="n">
        <f aca="false">6月!L8</f>
        <v>49431643</v>
      </c>
      <c r="F8" s="10" t="n">
        <f aca="false">7月!L8</f>
        <v>28727991</v>
      </c>
      <c r="G8" s="10" t="n">
        <f aca="false">8月!L8</f>
        <v>35273268</v>
      </c>
      <c r="H8" s="11" t="n">
        <f aca="false">SUM(C8:G8)</f>
        <v>180070693</v>
      </c>
    </row>
    <row r="9" customFormat="false" ht="15" hidden="false" customHeight="false" outlineLevel="0" collapsed="false">
      <c r="A9" s="5"/>
      <c r="B9" s="6" t="s">
        <v>13</v>
      </c>
      <c r="C9" s="7" t="n">
        <f aca="false">4月!L9</f>
        <v>44</v>
      </c>
      <c r="D9" s="7" t="n">
        <f aca="false">5月!L9</f>
        <v>47</v>
      </c>
      <c r="E9" s="7" t="n">
        <f aca="false">6月!L9</f>
        <v>47</v>
      </c>
      <c r="F9" s="7" t="n">
        <f aca="false">7月!L9</f>
        <v>40</v>
      </c>
      <c r="G9" s="7" t="n">
        <f aca="false">8月!L9</f>
        <v>46</v>
      </c>
      <c r="H9" s="8" t="n">
        <f aca="false">AVERAGE(C9:G9)</f>
        <v>44.8</v>
      </c>
    </row>
    <row r="10" customFormat="false" ht="15" hidden="false" customHeight="false" outlineLevel="0" collapsed="false">
      <c r="A10" s="5"/>
      <c r="B10" s="6" t="s">
        <v>14</v>
      </c>
      <c r="C10" s="7" t="n">
        <f aca="false">4月!L10</f>
        <v>112</v>
      </c>
      <c r="D10" s="7" t="n">
        <f aca="false">5月!L10</f>
        <v>84</v>
      </c>
      <c r="E10" s="7" t="n">
        <f aca="false">6月!L10</f>
        <v>115</v>
      </c>
      <c r="F10" s="7" t="n">
        <f aca="false">7月!L10</f>
        <v>97</v>
      </c>
      <c r="G10" s="7" t="n">
        <f aca="false">8月!L10</f>
        <v>121</v>
      </c>
      <c r="H10" s="8" t="n">
        <f aca="false">AVERAGE(C10:G10)</f>
        <v>105.8</v>
      </c>
    </row>
    <row r="11" customFormat="false" ht="15" hidden="false" customHeight="false" outlineLevel="0" collapsed="false">
      <c r="A11" s="5"/>
      <c r="B11" s="6" t="s">
        <v>15</v>
      </c>
      <c r="C11" s="7" t="n">
        <f aca="false">4月!L11</f>
        <v>558744</v>
      </c>
      <c r="D11" s="7" t="n">
        <f aca="false">5月!L11</f>
        <v>474203</v>
      </c>
      <c r="E11" s="7" t="n">
        <f aca="false">6月!L11</f>
        <v>659013</v>
      </c>
      <c r="F11" s="7" t="n">
        <f aca="false">7月!L11</f>
        <v>437048</v>
      </c>
      <c r="G11" s="7" t="n">
        <f aca="false">8月!L11</f>
        <v>602259</v>
      </c>
      <c r="H11" s="8" t="n">
        <f aca="false">AVERAGE(C11:G11)</f>
        <v>546253.4</v>
      </c>
    </row>
    <row r="12" customFormat="false" ht="15" hidden="false" customHeight="false" outlineLevel="0" collapsed="false">
      <c r="A12" s="5"/>
      <c r="B12" s="6" t="s">
        <v>16</v>
      </c>
      <c r="C12" s="7" t="n">
        <f aca="false">4月!L12</f>
        <v>4989</v>
      </c>
      <c r="D12" s="7" t="n">
        <f aca="false">5月!L12</f>
        <v>5645</v>
      </c>
      <c r="E12" s="7" t="n">
        <f aca="false">6月!L12</f>
        <v>5731</v>
      </c>
      <c r="F12" s="7" t="n">
        <f aca="false">7月!L12</f>
        <v>4506</v>
      </c>
      <c r="G12" s="7" t="n">
        <f aca="false">8月!L12</f>
        <v>4977</v>
      </c>
      <c r="H12" s="8" t="n">
        <f aca="false">AVERAGE(C12:G12)</f>
        <v>5169.6</v>
      </c>
    </row>
    <row r="13" customFormat="false" ht="15" hidden="false" customHeight="false" outlineLevel="0" collapsed="false">
      <c r="A13" s="5" t="s">
        <v>17</v>
      </c>
      <c r="B13" s="9" t="s">
        <v>18</v>
      </c>
      <c r="C13" s="10" t="n">
        <f aca="false">4月!L14</f>
        <v>2745008</v>
      </c>
      <c r="D13" s="10" t="n">
        <f aca="false">5月!L14</f>
        <v>1123156</v>
      </c>
      <c r="E13" s="10" t="n">
        <f aca="false">6月!L14</f>
        <v>3238535</v>
      </c>
      <c r="F13" s="10" t="n">
        <f aca="false">7月!L14</f>
        <v>2385715</v>
      </c>
      <c r="G13" s="10" t="n">
        <f aca="false">8月!L14</f>
        <v>2466926</v>
      </c>
      <c r="H13" s="11" t="n">
        <f aca="false">SUM(C13:G13)</f>
        <v>11959340</v>
      </c>
    </row>
    <row r="14" customFormat="false" ht="15" hidden="false" customHeight="false" outlineLevel="0" collapsed="false">
      <c r="A14" s="5"/>
      <c r="B14" s="6" t="s">
        <v>19</v>
      </c>
      <c r="C14" s="7" t="n">
        <f aca="false">4月!L15</f>
        <v>2745008</v>
      </c>
      <c r="D14" s="7" t="n">
        <f aca="false">5月!L15</f>
        <v>321431</v>
      </c>
      <c r="E14" s="7" t="n">
        <f aca="false">6月!L15</f>
        <v>2511485</v>
      </c>
      <c r="F14" s="7" t="n">
        <f aca="false">7月!L15</f>
        <v>1433715</v>
      </c>
      <c r="G14" s="7" t="n">
        <f aca="false">8月!L15</f>
        <v>2466926</v>
      </c>
      <c r="H14" s="8" t="n">
        <f aca="false">SUM(C14:G14)</f>
        <v>9478565</v>
      </c>
    </row>
    <row r="15" customFormat="false" ht="15" hidden="false" customHeight="false" outlineLevel="0" collapsed="false">
      <c r="A15" s="5"/>
      <c r="B15" s="6" t="s">
        <v>20</v>
      </c>
      <c r="C15" s="7" t="n">
        <f aca="false">4月!L16</f>
        <v>0</v>
      </c>
      <c r="D15" s="7" t="n">
        <f aca="false">5月!L16</f>
        <v>801725</v>
      </c>
      <c r="E15" s="7" t="n">
        <f aca="false">6月!L16</f>
        <v>727050</v>
      </c>
      <c r="F15" s="7" t="n">
        <f aca="false">7月!L16</f>
        <v>952000</v>
      </c>
      <c r="G15" s="7" t="n">
        <f aca="false">8月!L16</f>
        <v>0</v>
      </c>
      <c r="H15" s="8" t="n">
        <f aca="false">SUM(C15:G15)</f>
        <v>2480775</v>
      </c>
    </row>
    <row r="16" customFormat="false" ht="15" hidden="false" customHeight="false" outlineLevel="0" collapsed="false">
      <c r="A16" s="5"/>
      <c r="B16" s="6" t="s">
        <v>21</v>
      </c>
      <c r="C16" s="7" t="n">
        <f aca="false">4月!L17</f>
        <v>11111482</v>
      </c>
      <c r="D16" s="7" t="n">
        <f aca="false">5月!L17</f>
        <v>10407880</v>
      </c>
      <c r="E16" s="7" t="n">
        <f aca="false">6月!L17</f>
        <v>11026509</v>
      </c>
      <c r="F16" s="7" t="n">
        <f aca="false">7月!L17</f>
        <v>11259700</v>
      </c>
      <c r="G16" s="7" t="n">
        <f aca="false">8月!L17</f>
        <v>10585670</v>
      </c>
      <c r="H16" s="8" t="n">
        <f aca="false">SUM(C16:G16)</f>
        <v>54391241</v>
      </c>
    </row>
    <row r="17" customFormat="false" ht="15" hidden="false" customHeight="false" outlineLevel="0" collapsed="false">
      <c r="A17" s="5"/>
      <c r="B17" s="6" t="s">
        <v>22</v>
      </c>
      <c r="C17" s="7" t="n">
        <f aca="false">4月!L18</f>
        <v>778141</v>
      </c>
      <c r="D17" s="7" t="n">
        <f aca="false">5月!L18</f>
        <v>0</v>
      </c>
      <c r="E17" s="7" t="n">
        <f aca="false">6月!L18</f>
        <v>0</v>
      </c>
      <c r="F17" s="7" t="n">
        <f aca="false">7月!L18</f>
        <v>399116</v>
      </c>
      <c r="G17" s="7" t="n">
        <f aca="false">8月!L18</f>
        <v>0</v>
      </c>
      <c r="H17" s="8" t="n">
        <f aca="false">SUM(C17:G17)</f>
        <v>1177257</v>
      </c>
    </row>
    <row r="18" customFormat="false" ht="15" hidden="false" customHeight="false" outlineLevel="0" collapsed="false">
      <c r="A18" s="5"/>
      <c r="B18" s="6" t="s">
        <v>23</v>
      </c>
      <c r="C18" s="7" t="n">
        <f aca="false">4月!L19</f>
        <v>1639249</v>
      </c>
      <c r="D18" s="7" t="n">
        <f aca="false">5月!L19</f>
        <v>0</v>
      </c>
      <c r="E18" s="7" t="n">
        <f aca="false">6月!L19</f>
        <v>3706451</v>
      </c>
      <c r="F18" s="7" t="n">
        <f aca="false">7月!L19</f>
        <v>1546708</v>
      </c>
      <c r="G18" s="7" t="n">
        <f aca="false">8月!L19</f>
        <v>2134477</v>
      </c>
      <c r="H18" s="8" t="n">
        <f aca="false">SUM(C18:G18)</f>
        <v>9026885</v>
      </c>
    </row>
    <row r="19" customFormat="false" ht="15" hidden="false" customHeight="false" outlineLevel="0" collapsed="false">
      <c r="A19" s="5"/>
      <c r="B19" s="6" t="s">
        <v>24</v>
      </c>
      <c r="C19" s="7" t="n">
        <f aca="false">4月!L20</f>
        <v>335199</v>
      </c>
      <c r="D19" s="7" t="n">
        <f aca="false">5月!L20</f>
        <v>60526</v>
      </c>
      <c r="E19" s="7" t="n">
        <f aca="false">6月!L20</f>
        <v>0</v>
      </c>
      <c r="F19" s="7" t="n">
        <f aca="false">7月!L20</f>
        <v>0</v>
      </c>
      <c r="G19" s="7" t="n">
        <f aca="false">8月!L20</f>
        <v>0</v>
      </c>
      <c r="H19" s="8" t="n">
        <f aca="false">SUM(C19:G19)</f>
        <v>395725</v>
      </c>
    </row>
    <row r="20" customFormat="false" ht="15" hidden="false" customHeight="false" outlineLevel="0" collapsed="false">
      <c r="A20" s="5"/>
      <c r="B20" s="6" t="s">
        <v>25</v>
      </c>
      <c r="C20" s="7" t="n">
        <f aca="false">4月!L21</f>
        <v>0</v>
      </c>
      <c r="D20" s="7" t="n">
        <f aca="false">5月!L21</f>
        <v>0</v>
      </c>
      <c r="E20" s="7" t="n">
        <f aca="false">6月!L21</f>
        <v>0</v>
      </c>
      <c r="F20" s="7" t="n">
        <f aca="false">7月!L21</f>
        <v>0</v>
      </c>
      <c r="G20" s="7" t="n">
        <f aca="false">8月!L21</f>
        <v>0</v>
      </c>
      <c r="H20" s="8" t="n">
        <f aca="false">SUM(C20:G20)</f>
        <v>0</v>
      </c>
    </row>
    <row r="21" customFormat="false" ht="15" hidden="false" customHeight="false" outlineLevel="0" collapsed="false">
      <c r="A21" s="5"/>
      <c r="B21" s="6" t="s">
        <v>26</v>
      </c>
      <c r="C21" s="7" t="n">
        <f aca="false">4月!L22</f>
        <v>0</v>
      </c>
      <c r="D21" s="7" t="n">
        <f aca="false">5月!L22</f>
        <v>0</v>
      </c>
      <c r="E21" s="7" t="n">
        <f aca="false">6月!L22</f>
        <v>0</v>
      </c>
      <c r="F21" s="7" t="n">
        <f aca="false">7月!L22</f>
        <v>0</v>
      </c>
      <c r="G21" s="7" t="n">
        <f aca="false">8月!L22</f>
        <v>0</v>
      </c>
      <c r="H21" s="8" t="n">
        <f aca="false">SUM(C21:G21)</f>
        <v>0</v>
      </c>
    </row>
    <row r="22" customFormat="false" ht="15" hidden="false" customHeight="false" outlineLevel="0" collapsed="false">
      <c r="A22" s="5" t="s">
        <v>27</v>
      </c>
      <c r="B22" s="9" t="s">
        <v>28</v>
      </c>
      <c r="C22" s="10" t="n">
        <f aca="false">4月!L23</f>
        <v>13864072</v>
      </c>
      <c r="D22" s="10" t="n">
        <f aca="false">5月!L23</f>
        <v>10468406</v>
      </c>
      <c r="E22" s="10" t="n">
        <f aca="false">6月!L23</f>
        <v>14732960</v>
      </c>
      <c r="F22" s="10" t="n">
        <f aca="false">7月!L23</f>
        <v>13205524</v>
      </c>
      <c r="G22" s="10" t="n">
        <f aca="false">8月!L23</f>
        <v>12720146</v>
      </c>
      <c r="H22" s="11" t="n">
        <f aca="false">SUM(C22:G22)</f>
        <v>64991108</v>
      </c>
    </row>
    <row r="23" customFormat="false" ht="15" hidden="false" customHeight="false" outlineLevel="0" collapsed="false">
      <c r="A23" s="5" t="s">
        <v>17</v>
      </c>
      <c r="B23" s="9" t="s">
        <v>29</v>
      </c>
      <c r="C23" s="10" t="n">
        <f aca="false">4月!L24</f>
        <v>6009974</v>
      </c>
      <c r="D23" s="10" t="n">
        <f aca="false">5月!L24</f>
        <v>4939876</v>
      </c>
      <c r="E23" s="10" t="n">
        <f aca="false">6月!L24</f>
        <v>9488351</v>
      </c>
      <c r="F23" s="10" t="n">
        <f aca="false">7月!L24</f>
        <v>4847801</v>
      </c>
      <c r="G23" s="10" t="n">
        <f aca="false">8月!L24</f>
        <v>6920532</v>
      </c>
      <c r="H23" s="11" t="n">
        <f aca="false">SUM(C23:G23)</f>
        <v>32206534</v>
      </c>
    </row>
    <row r="24" customFormat="false" ht="15" hidden="false" customHeight="false" outlineLevel="0" collapsed="false">
      <c r="A24" s="5"/>
      <c r="B24" s="6" t="s">
        <v>30</v>
      </c>
      <c r="C24" s="7" t="n">
        <f aca="false">4月!L25</f>
        <v>2040821</v>
      </c>
      <c r="D24" s="7" t="n">
        <f aca="false">5月!L25</f>
        <v>1833436</v>
      </c>
      <c r="E24" s="7" t="n">
        <f aca="false">6月!L25</f>
        <v>4598325</v>
      </c>
      <c r="F24" s="7" t="n">
        <f aca="false">7月!L25</f>
        <v>2032662</v>
      </c>
      <c r="G24" s="7" t="n">
        <f aca="false">8月!L25</f>
        <v>3551050</v>
      </c>
      <c r="H24" s="8" t="n">
        <f aca="false">SUM(C24:G24)</f>
        <v>14056294</v>
      </c>
    </row>
    <row r="25" customFormat="false" ht="15" hidden="false" customHeight="false" outlineLevel="0" collapsed="false">
      <c r="A25" s="5"/>
      <c r="B25" s="6" t="s">
        <v>31</v>
      </c>
      <c r="C25" s="7" t="n">
        <f aca="false">4月!L26</f>
        <v>584092</v>
      </c>
      <c r="D25" s="7" t="n">
        <f aca="false">5月!L26</f>
        <v>193010</v>
      </c>
      <c r="E25" s="7" t="n">
        <f aca="false">6月!L26</f>
        <v>1193546</v>
      </c>
      <c r="F25" s="7" t="n">
        <f aca="false">7月!L26</f>
        <v>336820</v>
      </c>
      <c r="G25" s="7" t="n">
        <f aca="false">8月!L26</f>
        <v>333214</v>
      </c>
      <c r="H25" s="8" t="n">
        <f aca="false">SUM(C25:G25)</f>
        <v>2640682</v>
      </c>
    </row>
    <row r="26" customFormat="false" ht="15" hidden="false" customHeight="false" outlineLevel="0" collapsed="false">
      <c r="A26" s="5"/>
      <c r="B26" s="6" t="s">
        <v>32</v>
      </c>
      <c r="C26" s="7" t="n">
        <f aca="false">4月!L27</f>
        <v>0</v>
      </c>
      <c r="D26" s="7" t="n">
        <f aca="false">5月!L27</f>
        <v>0</v>
      </c>
      <c r="E26" s="7" t="n">
        <f aca="false">6月!L27</f>
        <v>0</v>
      </c>
      <c r="F26" s="7" t="n">
        <f aca="false">7月!L27</f>
        <v>0</v>
      </c>
      <c r="G26" s="7" t="n">
        <f aca="false">8月!L27</f>
        <v>110880</v>
      </c>
      <c r="H26" s="8" t="n">
        <f aca="false">SUM(C26:G26)</f>
        <v>110880</v>
      </c>
    </row>
    <row r="27" customFormat="false" ht="15" hidden="false" customHeight="false" outlineLevel="0" collapsed="false">
      <c r="A27" s="5"/>
      <c r="B27" s="6" t="s">
        <v>33</v>
      </c>
      <c r="C27" s="7" t="n">
        <f aca="false">4月!L28</f>
        <v>0</v>
      </c>
      <c r="D27" s="7" t="n">
        <f aca="false">5月!L28</f>
        <v>0</v>
      </c>
      <c r="E27" s="7" t="n">
        <f aca="false">6月!L28</f>
        <v>0</v>
      </c>
      <c r="F27" s="7" t="n">
        <f aca="false">7月!L28</f>
        <v>0</v>
      </c>
      <c r="G27" s="7" t="n">
        <f aca="false">8月!L28</f>
        <v>0</v>
      </c>
      <c r="H27" s="8" t="n">
        <f aca="false">SUM(C27:G27)</f>
        <v>0</v>
      </c>
    </row>
    <row r="28" customFormat="false" ht="15" hidden="false" customHeight="false" outlineLevel="0" collapsed="false">
      <c r="A28" s="5"/>
      <c r="B28" s="6" t="s">
        <v>34</v>
      </c>
      <c r="C28" s="7" t="n">
        <f aca="false">4月!L29</f>
        <v>45000</v>
      </c>
      <c r="D28" s="7" t="n">
        <f aca="false">5月!L29</f>
        <v>0</v>
      </c>
      <c r="E28" s="7" t="n">
        <f aca="false">6月!L29</f>
        <v>126000</v>
      </c>
      <c r="F28" s="7" t="n">
        <f aca="false">7月!L29</f>
        <v>191990</v>
      </c>
      <c r="G28" s="7" t="n">
        <f aca="false">8月!L29</f>
        <v>157000</v>
      </c>
      <c r="H28" s="8" t="n">
        <f aca="false">SUM(C28:G28)</f>
        <v>519990</v>
      </c>
    </row>
    <row r="29" customFormat="false" ht="15" hidden="false" customHeight="false" outlineLevel="0" collapsed="false">
      <c r="A29" s="5"/>
      <c r="B29" s="6" t="s">
        <v>35</v>
      </c>
      <c r="C29" s="7" t="n">
        <f aca="false">4月!L30</f>
        <v>876134</v>
      </c>
      <c r="D29" s="7" t="n">
        <f aca="false">5月!L30</f>
        <v>521030</v>
      </c>
      <c r="E29" s="7" t="n">
        <f aca="false">6月!L30</f>
        <v>1759598</v>
      </c>
      <c r="F29" s="7" t="n">
        <f aca="false">7月!L30</f>
        <v>703883</v>
      </c>
      <c r="G29" s="7" t="n">
        <f aca="false">8月!L30</f>
        <v>887046</v>
      </c>
      <c r="H29" s="8" t="n">
        <f aca="false">SUM(C29:G29)</f>
        <v>4747691</v>
      </c>
    </row>
    <row r="30" customFormat="false" ht="15" hidden="false" customHeight="false" outlineLevel="0" collapsed="false">
      <c r="A30" s="5"/>
      <c r="B30" s="6" t="s">
        <v>36</v>
      </c>
      <c r="C30" s="7" t="n">
        <f aca="false">4月!L31</f>
        <v>2463927</v>
      </c>
      <c r="D30" s="7" t="n">
        <f aca="false">5月!L31</f>
        <v>2392400</v>
      </c>
      <c r="E30" s="7" t="n">
        <f aca="false">6月!L31</f>
        <v>1810882</v>
      </c>
      <c r="F30" s="7" t="n">
        <f aca="false">7月!L31</f>
        <v>1582446</v>
      </c>
      <c r="G30" s="7" t="n">
        <f aca="false">8月!L31</f>
        <v>1881342</v>
      </c>
      <c r="H30" s="8" t="n">
        <f aca="false">SUM(C30:G30)</f>
        <v>10130997</v>
      </c>
    </row>
    <row r="31" customFormat="false" ht="15" hidden="false" customHeight="false" outlineLevel="0" collapsed="false">
      <c r="A31" s="5" t="s">
        <v>17</v>
      </c>
      <c r="B31" s="6" t="s">
        <v>37</v>
      </c>
      <c r="C31" s="7" t="n">
        <f aca="false">4月!L32</f>
        <v>1016625</v>
      </c>
      <c r="D31" s="7" t="n">
        <f aca="false">5月!L32</f>
        <v>1039262</v>
      </c>
      <c r="E31" s="7" t="n">
        <f aca="false">6月!L32</f>
        <v>1062774</v>
      </c>
      <c r="F31" s="7" t="n">
        <f aca="false">7月!L32</f>
        <v>1047223</v>
      </c>
      <c r="G31" s="7" t="n">
        <f aca="false">8月!L32</f>
        <v>1466433</v>
      </c>
      <c r="H31" s="8" t="n">
        <f aca="false">SUM(C31:G31)</f>
        <v>5632317</v>
      </c>
    </row>
    <row r="32" customFormat="false" ht="15" hidden="false" customHeight="false" outlineLevel="0" collapsed="false">
      <c r="A32" s="5" t="s">
        <v>27</v>
      </c>
      <c r="B32" s="6" t="s">
        <v>38</v>
      </c>
      <c r="C32" s="7" t="n">
        <f aca="false">4月!L33</f>
        <v>144473</v>
      </c>
      <c r="D32" s="7" t="n">
        <f aca="false">5月!L33</f>
        <v>110903</v>
      </c>
      <c r="E32" s="7" t="n">
        <f aca="false">6月!L33</f>
        <v>103118</v>
      </c>
      <c r="F32" s="7" t="n">
        <f aca="false">7月!L33</f>
        <v>110903</v>
      </c>
      <c r="G32" s="7" t="n">
        <f aca="false">8月!L33</f>
        <v>101982</v>
      </c>
      <c r="H32" s="8" t="n">
        <f aca="false">SUM(C32:G32)</f>
        <v>571379</v>
      </c>
    </row>
    <row r="33" customFormat="false" ht="15" hidden="false" customHeight="false" outlineLevel="0" collapsed="false">
      <c r="A33" s="5" t="s">
        <v>17</v>
      </c>
      <c r="B33" s="6" t="s">
        <v>39</v>
      </c>
      <c r="C33" s="7" t="n">
        <f aca="false">4月!L34</f>
        <v>1027636</v>
      </c>
      <c r="D33" s="7" t="n">
        <f aca="false">5月!L34</f>
        <v>2152560</v>
      </c>
      <c r="E33" s="7" t="n">
        <f aca="false">6月!L34</f>
        <v>644591</v>
      </c>
      <c r="F33" s="7" t="n">
        <f aca="false">7月!L34</f>
        <v>757102</v>
      </c>
      <c r="G33" s="7" t="n">
        <f aca="false">8月!L34</f>
        <v>799054</v>
      </c>
      <c r="H33" s="8" t="n">
        <f aca="false">SUM(C33:G33)</f>
        <v>5380943</v>
      </c>
    </row>
    <row r="34" customFormat="false" ht="15" hidden="false" customHeight="false" outlineLevel="0" collapsed="false">
      <c r="A34" s="5" t="s">
        <v>27</v>
      </c>
      <c r="B34" s="6" t="s">
        <v>40</v>
      </c>
      <c r="C34" s="7" t="n">
        <f aca="false">4月!L35</f>
        <v>5042546</v>
      </c>
      <c r="D34" s="7" t="n">
        <f aca="false">5月!L35</f>
        <v>5042546</v>
      </c>
      <c r="E34" s="7" t="n">
        <f aca="false">6月!L35</f>
        <v>5042546</v>
      </c>
      <c r="F34" s="7" t="n">
        <f aca="false">7月!L35</f>
        <v>5042546</v>
      </c>
      <c r="G34" s="7" t="n">
        <f aca="false">8月!L35</f>
        <v>5042546</v>
      </c>
      <c r="H34" s="8" t="n">
        <f aca="false">SUM(C34:G34)</f>
        <v>25212730</v>
      </c>
    </row>
    <row r="35" customFormat="false" ht="15" hidden="false" customHeight="false" outlineLevel="0" collapsed="false">
      <c r="A35" s="5" t="s">
        <v>17</v>
      </c>
      <c r="B35" s="6" t="s">
        <v>41</v>
      </c>
      <c r="C35" s="7" t="n">
        <f aca="false">4月!L36</f>
        <v>481781</v>
      </c>
      <c r="D35" s="7" t="n">
        <f aca="false">5月!L36</f>
        <v>148412</v>
      </c>
      <c r="E35" s="7" t="n">
        <f aca="false">6月!L36</f>
        <v>534902</v>
      </c>
      <c r="F35" s="7" t="n">
        <f aca="false">7月!L36</f>
        <v>55486</v>
      </c>
      <c r="G35" s="7" t="n">
        <f aca="false">8月!L36</f>
        <v>394092</v>
      </c>
      <c r="H35" s="8" t="n">
        <f aca="false">SUM(C35:G35)</f>
        <v>1614673</v>
      </c>
    </row>
    <row r="36" customFormat="false" ht="15" hidden="false" customHeight="false" outlineLevel="0" collapsed="false">
      <c r="A36" s="5" t="s">
        <v>27</v>
      </c>
      <c r="B36" s="6" t="s">
        <v>42</v>
      </c>
      <c r="C36" s="7" t="n">
        <f aca="false">4月!L37</f>
        <v>89416</v>
      </c>
      <c r="D36" s="7" t="n">
        <f aca="false">5月!L37</f>
        <v>224016</v>
      </c>
      <c r="E36" s="7" t="n">
        <f aca="false">6月!L37</f>
        <v>162853</v>
      </c>
      <c r="F36" s="7" t="n">
        <f aca="false">7月!L37</f>
        <v>95331</v>
      </c>
      <c r="G36" s="7" t="n">
        <f aca="false">8月!L37</f>
        <v>209501</v>
      </c>
      <c r="H36" s="8" t="n">
        <f aca="false">SUM(C36:G36)</f>
        <v>781117</v>
      </c>
    </row>
    <row r="37" customFormat="false" ht="15" hidden="false" customHeight="false" outlineLevel="0" collapsed="false">
      <c r="A37" s="5" t="s">
        <v>27</v>
      </c>
      <c r="B37" s="6" t="s">
        <v>43</v>
      </c>
      <c r="C37" s="7" t="n">
        <f aca="false">4月!L38</f>
        <v>106652</v>
      </c>
      <c r="D37" s="7" t="n">
        <f aca="false">5月!L38</f>
        <v>30381</v>
      </c>
      <c r="E37" s="7" t="n">
        <f aca="false">6月!L38</f>
        <v>37372</v>
      </c>
      <c r="F37" s="7" t="n">
        <f aca="false">7月!L38</f>
        <v>97036</v>
      </c>
      <c r="G37" s="7" t="n">
        <f aca="false">8月!L38</f>
        <v>123611</v>
      </c>
      <c r="H37" s="8" t="n">
        <f aca="false">SUM(C37:G37)</f>
        <v>395052</v>
      </c>
    </row>
    <row r="38" customFormat="false" ht="15" hidden="false" customHeight="false" outlineLevel="0" collapsed="false">
      <c r="A38" s="5" t="s">
        <v>27</v>
      </c>
      <c r="B38" s="6" t="s">
        <v>44</v>
      </c>
      <c r="C38" s="7" t="n">
        <f aca="false">4月!L39</f>
        <v>0</v>
      </c>
      <c r="D38" s="7" t="n">
        <f aca="false">5月!L39</f>
        <v>130700</v>
      </c>
      <c r="E38" s="7" t="n">
        <f aca="false">6月!L39</f>
        <v>0</v>
      </c>
      <c r="F38" s="7" t="n">
        <f aca="false">7月!L39</f>
        <v>10168</v>
      </c>
      <c r="G38" s="7" t="n">
        <f aca="false">8月!L39</f>
        <v>0</v>
      </c>
      <c r="H38" s="8" t="n">
        <f aca="false">SUM(C38:G38)</f>
        <v>140868</v>
      </c>
    </row>
    <row r="39" customFormat="false" ht="15" hidden="false" customHeight="false" outlineLevel="0" collapsed="false">
      <c r="A39" s="5" t="s">
        <v>17</v>
      </c>
      <c r="B39" s="6" t="s">
        <v>45</v>
      </c>
      <c r="C39" s="7" t="n">
        <f aca="false">4月!L40</f>
        <v>193060</v>
      </c>
      <c r="D39" s="7" t="n">
        <f aca="false">5月!L40</f>
        <v>164824</v>
      </c>
      <c r="E39" s="7" t="n">
        <f aca="false">6月!L40</f>
        <v>0</v>
      </c>
      <c r="F39" s="7" t="n">
        <f aca="false">7月!L40</f>
        <v>79864</v>
      </c>
      <c r="G39" s="7" t="n">
        <f aca="false">8月!L40</f>
        <v>0</v>
      </c>
      <c r="H39" s="8" t="n">
        <f aca="false">SUM(C39:G39)</f>
        <v>437748</v>
      </c>
    </row>
    <row r="40" customFormat="false" ht="15" hidden="false" customHeight="false" outlineLevel="0" collapsed="false">
      <c r="A40" s="5" t="s">
        <v>17</v>
      </c>
      <c r="B40" s="6" t="s">
        <v>46</v>
      </c>
      <c r="C40" s="7" t="n">
        <f aca="false">4月!L41</f>
        <v>75109</v>
      </c>
      <c r="D40" s="7" t="n">
        <f aca="false">5月!L41</f>
        <v>56363</v>
      </c>
      <c r="E40" s="7" t="n">
        <f aca="false">6月!L41</f>
        <v>80710</v>
      </c>
      <c r="F40" s="7" t="n">
        <f aca="false">7月!L41</f>
        <v>62668</v>
      </c>
      <c r="G40" s="7" t="n">
        <f aca="false">8月!L41</f>
        <v>63313</v>
      </c>
      <c r="H40" s="8" t="n">
        <f aca="false">SUM(C40:G40)</f>
        <v>338163</v>
      </c>
    </row>
    <row r="41" customFormat="false" ht="15" hidden="false" customHeight="false" outlineLevel="0" collapsed="false">
      <c r="A41" s="5" t="s">
        <v>17</v>
      </c>
      <c r="B41" s="6" t="s">
        <v>47</v>
      </c>
      <c r="C41" s="7" t="n">
        <f aca="false">4月!L42</f>
        <v>297465</v>
      </c>
      <c r="D41" s="7" t="n">
        <f aca="false">5月!L42</f>
        <v>248271</v>
      </c>
      <c r="E41" s="7" t="n">
        <f aca="false">6月!L42</f>
        <v>430230</v>
      </c>
      <c r="F41" s="7" t="n">
        <f aca="false">7月!L42</f>
        <v>305607</v>
      </c>
      <c r="G41" s="7" t="n">
        <f aca="false">8月!L42</f>
        <v>421861</v>
      </c>
      <c r="H41" s="8" t="n">
        <f aca="false">SUM(C41:G41)</f>
        <v>1703434</v>
      </c>
    </row>
    <row r="42" customFormat="false" ht="15" hidden="false" customHeight="false" outlineLevel="0" collapsed="false">
      <c r="A42" s="5" t="s">
        <v>27</v>
      </c>
      <c r="B42" s="6" t="s">
        <v>48</v>
      </c>
      <c r="C42" s="7" t="n">
        <f aca="false">4月!L43</f>
        <v>113716</v>
      </c>
      <c r="D42" s="7" t="n">
        <f aca="false">5月!L43</f>
        <v>114116</v>
      </c>
      <c r="E42" s="7" t="n">
        <f aca="false">6月!L43</f>
        <v>118591</v>
      </c>
      <c r="F42" s="7" t="n">
        <f aca="false">7月!L43</f>
        <v>120466</v>
      </c>
      <c r="G42" s="7" t="n">
        <f aca="false">8月!L43</f>
        <v>151950</v>
      </c>
      <c r="H42" s="8" t="n">
        <f aca="false">SUM(C42:G42)</f>
        <v>618839</v>
      </c>
    </row>
    <row r="43" customFormat="false" ht="15" hidden="false" customHeight="false" outlineLevel="0" collapsed="false">
      <c r="A43" s="5" t="s">
        <v>27</v>
      </c>
      <c r="B43" s="6" t="s">
        <v>49</v>
      </c>
      <c r="C43" s="7" t="n">
        <f aca="false">4月!L44</f>
        <v>151950</v>
      </c>
      <c r="D43" s="7" t="n">
        <f aca="false">5月!L44</f>
        <v>151950</v>
      </c>
      <c r="E43" s="7" t="n">
        <f aca="false">6月!L44</f>
        <v>151950</v>
      </c>
      <c r="F43" s="7" t="n">
        <f aca="false">7月!L44</f>
        <v>151950</v>
      </c>
      <c r="G43" s="7" t="n">
        <f aca="false">8月!L44</f>
        <v>105975</v>
      </c>
      <c r="H43" s="8" t="n">
        <f aca="false">SUM(C43:G43)</f>
        <v>713775</v>
      </c>
    </row>
    <row r="44" customFormat="false" ht="15" hidden="false" customHeight="false" outlineLevel="0" collapsed="false">
      <c r="A44" s="5"/>
      <c r="B44" s="9" t="s">
        <v>50</v>
      </c>
      <c r="C44" s="10" t="n">
        <f aca="false">4月!L45</f>
        <v>8740430</v>
      </c>
      <c r="D44" s="10" t="n">
        <f aca="false">5月!L45</f>
        <v>9614305</v>
      </c>
      <c r="E44" s="10" t="n">
        <f aca="false">6月!L45</f>
        <v>8369638</v>
      </c>
      <c r="F44" s="10" t="n">
        <f aca="false">7月!L45</f>
        <v>7936348</v>
      </c>
      <c r="G44" s="10" t="n">
        <f aca="false">8月!L45</f>
        <v>8880317</v>
      </c>
      <c r="H44" s="11" t="n">
        <f aca="false">SUM(C44:G44)</f>
        <v>43541038</v>
      </c>
    </row>
    <row r="45" customFormat="false" ht="15" hidden="false" customHeight="false" outlineLevel="0" collapsed="false">
      <c r="A45" s="5"/>
      <c r="B45" s="9" t="s">
        <v>51</v>
      </c>
      <c r="C45" s="10" t="n">
        <f aca="false">4月!L46</f>
        <v>31359483</v>
      </c>
      <c r="D45" s="10" t="n">
        <f aca="false">5月!L46</f>
        <v>26145743</v>
      </c>
      <c r="E45" s="10" t="n">
        <f aca="false">6月!L46</f>
        <v>35829483</v>
      </c>
      <c r="F45" s="10" t="n">
        <f aca="false">7月!L46</f>
        <v>28375387</v>
      </c>
      <c r="G45" s="10" t="n">
        <f aca="false">8月!L46</f>
        <v>30987921</v>
      </c>
      <c r="H45" s="11" t="n">
        <f aca="false">SUM(C45:G45)</f>
        <v>152698017</v>
      </c>
    </row>
    <row r="46" customFormat="false" ht="15" hidden="false" customHeight="false" outlineLevel="0" collapsed="false">
      <c r="A46" s="5"/>
      <c r="B46" s="9" t="s">
        <v>52</v>
      </c>
      <c r="C46" s="10" t="n">
        <f aca="false">4月!L49</f>
        <v>31359483</v>
      </c>
      <c r="D46" s="10" t="n">
        <f aca="false">5月!L49</f>
        <v>26145743</v>
      </c>
      <c r="E46" s="10" t="n">
        <f aca="false">6月!L49</f>
        <v>35829483</v>
      </c>
      <c r="F46" s="10" t="n">
        <f aca="false">7月!L49</f>
        <v>28375387</v>
      </c>
      <c r="G46" s="10" t="n">
        <f aca="false">8月!L49</f>
        <v>30987921</v>
      </c>
      <c r="H46" s="11" t="n">
        <f aca="false">SUM(C46:G46)</f>
        <v>152698017</v>
      </c>
    </row>
    <row r="47" customFormat="false" ht="15" hidden="false" customHeight="false" outlineLevel="0" collapsed="false">
      <c r="A47" s="5"/>
      <c r="B47" s="9" t="s">
        <v>53</v>
      </c>
      <c r="C47" s="10" t="n">
        <f aca="false">4月!L50</f>
        <v>4598861</v>
      </c>
      <c r="D47" s="10" t="n">
        <f aca="false">5月!L50</f>
        <v>4533705</v>
      </c>
      <c r="E47" s="10" t="n">
        <f aca="false">6月!L50</f>
        <v>13602159</v>
      </c>
      <c r="F47" s="10" t="n">
        <f aca="false">7月!L50</f>
        <v>352604</v>
      </c>
      <c r="G47" s="10" t="n">
        <f aca="false">8月!L50</f>
        <v>4285347</v>
      </c>
      <c r="H47" s="11" t="n">
        <f aca="false">SUM(C47:G47)</f>
        <v>27372676</v>
      </c>
    </row>
    <row r="48" customFormat="false" ht="15" hidden="false" customHeight="false" outlineLevel="0" collapsed="false">
      <c r="A48" s="5"/>
      <c r="B48" s="6" t="s">
        <v>54</v>
      </c>
      <c r="C48" s="7" t="n">
        <f aca="false">4月!L51</f>
        <v>1477526</v>
      </c>
      <c r="D48" s="7" t="n">
        <f aca="false">5月!L51</f>
        <v>1477526</v>
      </c>
      <c r="E48" s="7" t="n">
        <f aca="false">6月!L51</f>
        <v>1477526</v>
      </c>
      <c r="F48" s="7" t="n">
        <f aca="false">7月!L51</f>
        <v>1477526</v>
      </c>
      <c r="G48" s="7" t="n">
        <f aca="false">8月!L51</f>
        <v>1477526</v>
      </c>
      <c r="H48" s="8" t="n">
        <f aca="false">SUM(C48:G48)</f>
        <v>7387630</v>
      </c>
    </row>
    <row r="49" customFormat="false" ht="15" hidden="false" customHeight="false" outlineLevel="0" collapsed="false">
      <c r="A49" s="5"/>
      <c r="B49" s="6" t="s">
        <v>55</v>
      </c>
      <c r="C49" s="7" t="n">
        <f aca="false">4月!L52</f>
        <v>2614940</v>
      </c>
      <c r="D49" s="7" t="n">
        <f aca="false">5月!L52</f>
        <v>2360498</v>
      </c>
      <c r="E49" s="7" t="n">
        <f aca="false">6月!L52</f>
        <v>2893798</v>
      </c>
      <c r="F49" s="7" t="n">
        <f aca="false">7月!L52</f>
        <v>3156237</v>
      </c>
      <c r="G49" s="7" t="n">
        <f aca="false">8月!L52</f>
        <v>2622938</v>
      </c>
      <c r="H49" s="8" t="n">
        <f aca="false">SUM(C49:G49)</f>
        <v>13648411</v>
      </c>
    </row>
    <row r="50" customFormat="false" ht="15" hidden="false" customHeight="false" outlineLevel="0" collapsed="false">
      <c r="A50" s="5"/>
      <c r="B50" s="6" t="s">
        <v>23</v>
      </c>
      <c r="C50" s="7" t="n">
        <f aca="false">4月!L53</f>
        <v>607558</v>
      </c>
      <c r="D50" s="7" t="n">
        <f aca="false">5月!L53</f>
        <v>0</v>
      </c>
      <c r="E50" s="7" t="n">
        <f aca="false">6月!L53</f>
        <v>1358592</v>
      </c>
      <c r="F50" s="7" t="n">
        <f aca="false">7月!L53</f>
        <v>628481</v>
      </c>
      <c r="G50" s="7" t="n">
        <f aca="false">8月!L53</f>
        <v>749000</v>
      </c>
      <c r="H50" s="8" t="n">
        <f aca="false">SUM(C50:G50)</f>
        <v>3343631</v>
      </c>
    </row>
    <row r="51" customFormat="false" ht="15" hidden="false" customHeight="false" outlineLevel="0" collapsed="false">
      <c r="A51" s="5"/>
      <c r="B51" s="6" t="s">
        <v>24</v>
      </c>
      <c r="C51" s="7" t="n">
        <f aca="false">4月!L54</f>
        <v>8679</v>
      </c>
      <c r="D51" s="7" t="n">
        <f aca="false">5月!L54</f>
        <v>18104</v>
      </c>
      <c r="E51" s="7" t="n">
        <f aca="false">6月!L54</f>
        <v>8110</v>
      </c>
      <c r="F51" s="7" t="n">
        <f aca="false">7月!L54</f>
        <v>7684</v>
      </c>
      <c r="G51" s="7" t="n">
        <f aca="false">8月!L54</f>
        <v>10728</v>
      </c>
      <c r="H51" s="8" t="n">
        <f aca="false">SUM(C51:G51)</f>
        <v>53305</v>
      </c>
    </row>
    <row r="52" customFormat="false" ht="15" hidden="false" customHeight="false" outlineLevel="0" collapsed="false">
      <c r="A52" s="5"/>
      <c r="B52" s="6" t="s">
        <v>56</v>
      </c>
      <c r="C52" s="7" t="n">
        <f aca="false">4月!L55</f>
        <v>25030</v>
      </c>
      <c r="D52" s="7" t="n">
        <f aca="false">5月!L55</f>
        <v>27893</v>
      </c>
      <c r="E52" s="7" t="n">
        <f aca="false">6月!L55</f>
        <v>209351</v>
      </c>
      <c r="F52" s="7" t="n">
        <f aca="false">7月!L55</f>
        <v>250302</v>
      </c>
      <c r="G52" s="7" t="n">
        <f aca="false">8月!L55</f>
        <v>47255</v>
      </c>
      <c r="H52" s="8" t="n">
        <f aca="false">SUM(C52:G52)</f>
        <v>559831</v>
      </c>
    </row>
    <row r="53" customFormat="false" ht="15" hidden="false" customHeight="false" outlineLevel="0" collapsed="false">
      <c r="A53" s="5"/>
      <c r="B53" s="6" t="s">
        <v>57</v>
      </c>
      <c r="C53" s="7" t="n">
        <f aca="false">4月!L56</f>
        <v>103837</v>
      </c>
      <c r="D53" s="7" t="n">
        <f aca="false">5月!L56</f>
        <v>47636</v>
      </c>
      <c r="E53" s="7" t="n">
        <f aca="false">6月!L56</f>
        <v>160103</v>
      </c>
      <c r="F53" s="7" t="n">
        <f aca="false">7月!L56</f>
        <v>112370</v>
      </c>
      <c r="G53" s="7" t="n">
        <f aca="false">8月!L56</f>
        <v>110250</v>
      </c>
      <c r="H53" s="8" t="n">
        <f aca="false">SUM(C53:G53)</f>
        <v>534196</v>
      </c>
    </row>
    <row r="54" customFormat="false" ht="15" hidden="false" customHeight="false" outlineLevel="0" collapsed="false">
      <c r="A54" s="5"/>
      <c r="B54" s="6" t="s">
        <v>58</v>
      </c>
      <c r="C54" s="7" t="n">
        <f aca="false">4月!L57</f>
        <v>0</v>
      </c>
      <c r="D54" s="7" t="n">
        <f aca="false">5月!L57</f>
        <v>152681</v>
      </c>
      <c r="E54" s="7" t="n">
        <f aca="false">6月!L57</f>
        <v>101800</v>
      </c>
      <c r="F54" s="7" t="n">
        <f aca="false">7月!L57</f>
        <v>111470</v>
      </c>
      <c r="G54" s="7" t="n">
        <f aca="false">8月!L57</f>
        <v>0</v>
      </c>
      <c r="H54" s="8" t="n">
        <f aca="false">SUM(C54:G54)</f>
        <v>365951</v>
      </c>
    </row>
    <row r="55" customFormat="false" ht="15" hidden="false" customHeight="false" outlineLevel="0" collapsed="false">
      <c r="A55" s="5"/>
      <c r="B55" s="6" t="s">
        <v>59</v>
      </c>
      <c r="C55" s="7" t="n">
        <f aca="false">4月!L58</f>
        <v>0</v>
      </c>
      <c r="D55" s="7" t="n">
        <f aca="false">5月!L58</f>
        <v>6606</v>
      </c>
      <c r="E55" s="7" t="n">
        <f aca="false">6月!L58</f>
        <v>78757</v>
      </c>
      <c r="F55" s="7" t="n">
        <f aca="false">7月!L58</f>
        <v>128208</v>
      </c>
      <c r="G55" s="7" t="n">
        <f aca="false">8月!L58</f>
        <v>27783</v>
      </c>
      <c r="H55" s="8" t="n">
        <f aca="false">SUM(C55:G55)</f>
        <v>241354</v>
      </c>
    </row>
    <row r="56" customFormat="false" ht="15" hidden="false" customHeight="false" outlineLevel="0" collapsed="false">
      <c r="A56" s="5"/>
      <c r="B56" s="6" t="s">
        <v>60</v>
      </c>
      <c r="C56" s="7" t="n">
        <f aca="false">4月!L59</f>
        <v>0</v>
      </c>
      <c r="D56" s="7" t="n">
        <f aca="false">5月!L59</f>
        <v>0</v>
      </c>
      <c r="E56" s="7" t="n">
        <f aca="false">6月!L59</f>
        <v>0</v>
      </c>
      <c r="F56" s="7" t="n">
        <f aca="false">7月!L59</f>
        <v>0</v>
      </c>
      <c r="G56" s="7" t="n">
        <f aca="false">8月!L59</f>
        <v>0</v>
      </c>
      <c r="H56" s="8" t="n">
        <f aca="false">SUM(C56:G56)</f>
        <v>0</v>
      </c>
    </row>
    <row r="57" customFormat="false" ht="15" hidden="false" customHeight="false" outlineLevel="0" collapsed="false">
      <c r="A57" s="5"/>
      <c r="B57" s="6" t="s">
        <v>42</v>
      </c>
      <c r="C57" s="7" t="n">
        <f aca="false">4月!L60</f>
        <v>133181</v>
      </c>
      <c r="D57" s="7" t="n">
        <f aca="false">5月!L60</f>
        <v>106721</v>
      </c>
      <c r="E57" s="7" t="n">
        <f aca="false">6月!L60</f>
        <v>6980</v>
      </c>
      <c r="F57" s="7" t="n">
        <f aca="false">7月!L60</f>
        <v>48463</v>
      </c>
      <c r="G57" s="7" t="n">
        <f aca="false">8月!L60</f>
        <v>62564</v>
      </c>
      <c r="H57" s="8" t="n">
        <f aca="false">SUM(C57:G57)</f>
        <v>357909</v>
      </c>
    </row>
    <row r="58" customFormat="false" ht="15" hidden="false" customHeight="false" outlineLevel="0" collapsed="false">
      <c r="A58" s="5"/>
      <c r="B58" s="6" t="s">
        <v>44</v>
      </c>
      <c r="C58" s="7" t="n">
        <f aca="false">4月!L61</f>
        <v>0</v>
      </c>
      <c r="D58" s="7" t="n">
        <f aca="false">5月!L61</f>
        <v>2000</v>
      </c>
      <c r="E58" s="7" t="n">
        <f aca="false">6月!L61</f>
        <v>804850</v>
      </c>
      <c r="F58" s="7" t="n">
        <f aca="false">7月!L61</f>
        <v>875</v>
      </c>
      <c r="G58" s="7" t="n">
        <f aca="false">8月!L61</f>
        <v>700</v>
      </c>
      <c r="H58" s="8" t="n">
        <f aca="false">SUM(C58:G58)</f>
        <v>808425</v>
      </c>
    </row>
    <row r="59" customFormat="false" ht="15" hidden="false" customHeight="false" outlineLevel="0" collapsed="false">
      <c r="A59" s="5"/>
      <c r="B59" s="6" t="s">
        <v>61</v>
      </c>
      <c r="C59" s="7" t="n">
        <f aca="false">4月!L62</f>
        <v>4259</v>
      </c>
      <c r="D59" s="7" t="n">
        <f aca="false">5月!L62</f>
        <v>3192</v>
      </c>
      <c r="E59" s="7" t="n">
        <f aca="false">6月!L62</f>
        <v>4259</v>
      </c>
      <c r="F59" s="7" t="n">
        <f aca="false">7月!L62</f>
        <v>3901</v>
      </c>
      <c r="G59" s="7" t="n">
        <f aca="false">8月!L62</f>
        <v>4259</v>
      </c>
      <c r="H59" s="8" t="n">
        <f aca="false">SUM(C59:G59)</f>
        <v>19870</v>
      </c>
    </row>
    <row r="60" customFormat="false" ht="15" hidden="false" customHeight="false" outlineLevel="0" collapsed="false">
      <c r="A60" s="5"/>
      <c r="B60" s="6" t="s">
        <v>62</v>
      </c>
      <c r="C60" s="7" t="n">
        <f aca="false">4月!L63</f>
        <v>43264</v>
      </c>
      <c r="D60" s="7" t="n">
        <f aca="false">5月!L63</f>
        <v>31175</v>
      </c>
      <c r="E60" s="7" t="n">
        <f aca="false">6月!L63</f>
        <v>80959</v>
      </c>
      <c r="F60" s="7" t="n">
        <f aca="false">7月!L63</f>
        <v>27012</v>
      </c>
      <c r="G60" s="7" t="n">
        <f aca="false">8月!L63</f>
        <v>26339</v>
      </c>
      <c r="H60" s="8" t="n">
        <f aca="false">SUM(C60:G60)</f>
        <v>208749</v>
      </c>
    </row>
    <row r="61" customFormat="false" ht="15" hidden="false" customHeight="false" outlineLevel="0" collapsed="false">
      <c r="A61" s="5"/>
      <c r="B61" s="6" t="s">
        <v>63</v>
      </c>
      <c r="C61" s="7" t="n">
        <f aca="false">4月!L64</f>
        <v>6000</v>
      </c>
      <c r="D61" s="7" t="n">
        <f aca="false">5月!L64</f>
        <v>0</v>
      </c>
      <c r="E61" s="7" t="n">
        <f aca="false">6月!L64</f>
        <v>25000</v>
      </c>
      <c r="F61" s="7" t="n">
        <f aca="false">7月!L64</f>
        <v>58500</v>
      </c>
      <c r="G61" s="7" t="n">
        <f aca="false">8月!L64</f>
        <v>0</v>
      </c>
      <c r="H61" s="8" t="n">
        <f aca="false">SUM(C61:G61)</f>
        <v>89500</v>
      </c>
    </row>
    <row r="62" customFormat="false" ht="15" hidden="false" customHeight="false" outlineLevel="0" collapsed="false">
      <c r="A62" s="5"/>
      <c r="B62" s="6" t="s">
        <v>64</v>
      </c>
      <c r="C62" s="7" t="n">
        <f aca="false">4月!L65</f>
        <v>131481</v>
      </c>
      <c r="D62" s="7" t="n">
        <f aca="false">5月!L65</f>
        <v>108123</v>
      </c>
      <c r="E62" s="7" t="n">
        <f aca="false">6月!L65</f>
        <v>152198</v>
      </c>
      <c r="F62" s="7" t="n">
        <f aca="false">7月!L65</f>
        <v>104514</v>
      </c>
      <c r="G62" s="7" t="n">
        <f aca="false">8月!L65</f>
        <v>142779</v>
      </c>
      <c r="H62" s="8" t="n">
        <f aca="false">SUM(C62:G62)</f>
        <v>639095</v>
      </c>
    </row>
    <row r="63" customFormat="false" ht="15" hidden="false" customHeight="false" outlineLevel="0" collapsed="false">
      <c r="A63" s="5"/>
      <c r="B63" s="6" t="s">
        <v>38</v>
      </c>
      <c r="C63" s="7" t="n">
        <f aca="false">4月!L66</f>
        <v>23538</v>
      </c>
      <c r="D63" s="7" t="n">
        <f aca="false">5月!L66</f>
        <v>23538</v>
      </c>
      <c r="E63" s="7" t="n">
        <f aca="false">6月!L66</f>
        <v>34463</v>
      </c>
      <c r="F63" s="7" t="n">
        <f aca="false">7月!L66</f>
        <v>23538</v>
      </c>
      <c r="G63" s="7" t="n">
        <f aca="false">8月!L66</f>
        <v>61698</v>
      </c>
      <c r="H63" s="8" t="n">
        <f aca="false">SUM(C63:G63)</f>
        <v>166775</v>
      </c>
    </row>
    <row r="64" customFormat="false" ht="15" hidden="false" customHeight="false" outlineLevel="0" collapsed="false">
      <c r="A64" s="5"/>
      <c r="B64" s="6" t="s">
        <v>65</v>
      </c>
      <c r="C64" s="7" t="n">
        <f aca="false">4月!L67</f>
        <v>5000</v>
      </c>
      <c r="D64" s="7" t="n">
        <f aca="false">5月!L67</f>
        <v>29500</v>
      </c>
      <c r="E64" s="7" t="n">
        <f aca="false">6月!L67</f>
        <v>7500</v>
      </c>
      <c r="F64" s="7" t="n">
        <f aca="false">7月!L67</f>
        <v>55000</v>
      </c>
      <c r="G64" s="7" t="n">
        <f aca="false">8月!L67</f>
        <v>45000</v>
      </c>
      <c r="H64" s="8" t="n">
        <f aca="false">SUM(C64:G64)</f>
        <v>142000</v>
      </c>
    </row>
    <row r="65" customFormat="false" ht="15" hidden="false" customHeight="false" outlineLevel="0" collapsed="false">
      <c r="A65" s="5"/>
      <c r="B65" s="6" t="s">
        <v>66</v>
      </c>
      <c r="C65" s="7" t="n">
        <f aca="false">4月!L68</f>
        <v>8345</v>
      </c>
      <c r="D65" s="7" t="n">
        <f aca="false">5月!L68</f>
        <v>7820</v>
      </c>
      <c r="E65" s="7" t="n">
        <f aca="false">6月!L68</f>
        <v>15575</v>
      </c>
      <c r="F65" s="7" t="n">
        <f aca="false">7月!L68</f>
        <v>14108</v>
      </c>
      <c r="G65" s="7" t="n">
        <f aca="false">8月!L68</f>
        <v>6166</v>
      </c>
      <c r="H65" s="8" t="n">
        <f aca="false">SUM(C65:G65)</f>
        <v>52014</v>
      </c>
    </row>
    <row r="66" customFormat="false" ht="15" hidden="false" customHeight="false" outlineLevel="0" collapsed="false">
      <c r="A66" s="5"/>
      <c r="B66" s="6" t="s">
        <v>67</v>
      </c>
      <c r="C66" s="7" t="n">
        <f aca="false">4月!L69</f>
        <v>16161</v>
      </c>
      <c r="D66" s="7" t="n">
        <f aca="false">5月!L69</f>
        <v>15054</v>
      </c>
      <c r="E66" s="7" t="n">
        <f aca="false">6月!L69</f>
        <v>15228</v>
      </c>
      <c r="F66" s="7" t="n">
        <f aca="false">7月!L69</f>
        <v>14586</v>
      </c>
      <c r="G66" s="7" t="n">
        <f aca="false">8月!L69</f>
        <v>14924</v>
      </c>
      <c r="H66" s="8" t="n">
        <f aca="false">SUM(C66:G66)</f>
        <v>75953</v>
      </c>
    </row>
    <row r="67" customFormat="false" ht="15" hidden="false" customHeight="false" outlineLevel="0" collapsed="false">
      <c r="A67" s="5"/>
      <c r="B67" s="6" t="s">
        <v>45</v>
      </c>
      <c r="C67" s="7" t="n">
        <f aca="false">4月!L70</f>
        <v>0</v>
      </c>
      <c r="D67" s="7" t="n">
        <f aca="false">5月!L70</f>
        <v>0</v>
      </c>
      <c r="E67" s="7" t="n">
        <f aca="false">6月!L70</f>
        <v>0</v>
      </c>
      <c r="F67" s="7" t="n">
        <f aca="false">7月!L70</f>
        <v>0</v>
      </c>
      <c r="G67" s="7" t="n">
        <f aca="false">8月!L70</f>
        <v>0</v>
      </c>
      <c r="H67" s="8" t="n">
        <f aca="false">SUM(C67:G67)</f>
        <v>0</v>
      </c>
    </row>
    <row r="68" customFormat="false" ht="15" hidden="false" customHeight="false" outlineLevel="0" collapsed="false">
      <c r="A68" s="5"/>
      <c r="B68" s="6" t="s">
        <v>68</v>
      </c>
      <c r="C68" s="7" t="n">
        <f aca="false">4月!L71</f>
        <v>0</v>
      </c>
      <c r="D68" s="7" t="n">
        <f aca="false">5月!L71</f>
        <v>0</v>
      </c>
      <c r="E68" s="7" t="n">
        <f aca="false">6月!L71</f>
        <v>0</v>
      </c>
      <c r="F68" s="7" t="n">
        <f aca="false">7月!L71</f>
        <v>0</v>
      </c>
      <c r="G68" s="7" t="n">
        <f aca="false">8月!L71</f>
        <v>0</v>
      </c>
      <c r="H68" s="8" t="n">
        <f aca="false">SUM(C68:G68)</f>
        <v>0</v>
      </c>
    </row>
    <row r="69" customFormat="false" ht="15" hidden="false" customHeight="false" outlineLevel="0" collapsed="false">
      <c r="A69" s="5"/>
      <c r="B69" s="6" t="s">
        <v>69</v>
      </c>
      <c r="C69" s="7" t="n">
        <f aca="false">4月!L72</f>
        <v>70000</v>
      </c>
      <c r="D69" s="7" t="n">
        <f aca="false">5月!L72</f>
        <v>70000</v>
      </c>
      <c r="E69" s="7" t="n">
        <f aca="false">6月!L72</f>
        <v>70000</v>
      </c>
      <c r="F69" s="7" t="n">
        <f aca="false">7月!L72</f>
        <v>357500</v>
      </c>
      <c r="G69" s="7" t="n">
        <f aca="false">8月!L72</f>
        <v>120000</v>
      </c>
      <c r="H69" s="8" t="n">
        <f aca="false">SUM(C69:G69)</f>
        <v>687500</v>
      </c>
    </row>
    <row r="70" customFormat="false" ht="15" hidden="false" customHeight="false" outlineLevel="0" collapsed="false">
      <c r="A70" s="5"/>
      <c r="B70" s="6" t="s">
        <v>70</v>
      </c>
      <c r="C70" s="7" t="n">
        <f aca="false">4月!L73</f>
        <v>0</v>
      </c>
      <c r="D70" s="7" t="n">
        <f aca="false">5月!L73</f>
        <v>0</v>
      </c>
      <c r="E70" s="7" t="n">
        <f aca="false">6月!L73</f>
        <v>0</v>
      </c>
      <c r="F70" s="7" t="n">
        <f aca="false">7月!L73</f>
        <v>2550</v>
      </c>
      <c r="G70" s="7" t="n">
        <f aca="false">8月!L73</f>
        <v>0</v>
      </c>
      <c r="H70" s="8" t="n">
        <f aca="false">SUM(C70:G70)</f>
        <v>2550</v>
      </c>
    </row>
    <row r="71" customFormat="false" ht="15" hidden="false" customHeight="false" outlineLevel="0" collapsed="false">
      <c r="A71" s="5"/>
      <c r="B71" s="6" t="s">
        <v>40</v>
      </c>
      <c r="C71" s="7" t="n">
        <f aca="false">4月!L74</f>
        <v>0</v>
      </c>
      <c r="D71" s="7" t="n">
        <f aca="false">5月!L74</f>
        <v>0</v>
      </c>
      <c r="E71" s="7" t="n">
        <f aca="false">6月!L74</f>
        <v>0</v>
      </c>
      <c r="F71" s="7" t="n">
        <f aca="false">7月!L74</f>
        <v>0</v>
      </c>
      <c r="G71" s="7" t="n">
        <f aca="false">8月!L74</f>
        <v>0</v>
      </c>
      <c r="H71" s="8" t="n">
        <f aca="false">SUM(C71:G71)</f>
        <v>0</v>
      </c>
    </row>
    <row r="72" customFormat="false" ht="15" hidden="false" customHeight="false" outlineLevel="0" collapsed="false">
      <c r="A72" s="5"/>
      <c r="B72" s="6" t="s">
        <v>48</v>
      </c>
      <c r="C72" s="7" t="n">
        <f aca="false">4月!L75</f>
        <v>105223</v>
      </c>
      <c r="D72" s="7" t="n">
        <f aca="false">5月!L75</f>
        <v>103081</v>
      </c>
      <c r="E72" s="7" t="n">
        <f aca="false">6月!L75</f>
        <v>138150</v>
      </c>
      <c r="F72" s="7" t="n">
        <f aca="false">7月!L75</f>
        <v>111631</v>
      </c>
      <c r="G72" s="7" t="n">
        <f aca="false">8月!L75</f>
        <v>111125</v>
      </c>
      <c r="H72" s="8" t="n">
        <f aca="false">SUM(C72:G72)</f>
        <v>569210</v>
      </c>
    </row>
    <row r="73" customFormat="false" ht="15" hidden="false" customHeight="false" outlineLevel="0" collapsed="false">
      <c r="A73" s="5"/>
      <c r="B73" s="6" t="s">
        <v>71</v>
      </c>
      <c r="C73" s="7" t="n">
        <f aca="false">4月!L76</f>
        <v>115500</v>
      </c>
      <c r="D73" s="7" t="n">
        <f aca="false">5月!L76</f>
        <v>32500</v>
      </c>
      <c r="E73" s="7" t="n">
        <f aca="false">6月!L76</f>
        <v>198500</v>
      </c>
      <c r="F73" s="7" t="n">
        <f aca="false">7月!L76</f>
        <v>115500</v>
      </c>
      <c r="G73" s="7" t="n">
        <f aca="false">8月!L76</f>
        <v>83000</v>
      </c>
      <c r="H73" s="8" t="n">
        <f aca="false">SUM(C73:G73)</f>
        <v>545000</v>
      </c>
    </row>
    <row r="74" customFormat="false" ht="15" hidden="false" customHeight="false" outlineLevel="0" collapsed="false">
      <c r="A74" s="5" t="s">
        <v>27</v>
      </c>
      <c r="B74" s="9" t="s">
        <v>72</v>
      </c>
      <c r="C74" s="10" t="n">
        <f aca="false">4月!L78</f>
        <v>5499522</v>
      </c>
      <c r="D74" s="10" t="n">
        <f aca="false">5月!L78</f>
        <v>4623647</v>
      </c>
      <c r="E74" s="10" t="n">
        <f aca="false">6月!L78</f>
        <v>7841697</v>
      </c>
      <c r="F74" s="10" t="n">
        <f aca="false">7月!L78</f>
        <v>6809956</v>
      </c>
      <c r="G74" s="10" t="n">
        <f aca="false">8月!L78</f>
        <v>5724033</v>
      </c>
      <c r="H74" s="11" t="n">
        <f aca="false">SUM(C74:G74)</f>
        <v>30498855</v>
      </c>
    </row>
    <row r="75" customFormat="false" ht="15" hidden="false" customHeight="false" outlineLevel="0" collapsed="false">
      <c r="A75" s="5"/>
      <c r="B75" s="9" t="s">
        <v>73</v>
      </c>
      <c r="C75" s="10" t="n">
        <f aca="false">4月!L79</f>
        <v>-900662</v>
      </c>
      <c r="D75" s="10" t="n">
        <f aca="false">5月!L79</f>
        <v>-89942</v>
      </c>
      <c r="E75" s="10" t="n">
        <f aca="false">6月!L79</f>
        <v>5760462</v>
      </c>
      <c r="F75" s="10" t="n">
        <f aca="false">7月!L79</f>
        <v>-6457352</v>
      </c>
      <c r="G75" s="10" t="n">
        <f aca="false">8月!L79</f>
        <v>-1438686</v>
      </c>
      <c r="H75" s="11" t="n">
        <f aca="false">SUM(C75:G75)</f>
        <v>-3126180</v>
      </c>
    </row>
    <row r="76" customFormat="false" ht="15" hidden="false" customHeight="false" outlineLevel="0" collapsed="false">
      <c r="A76" s="5"/>
      <c r="B76" s="6" t="s">
        <v>74</v>
      </c>
      <c r="C76" s="7" t="n">
        <f aca="false">4月!L80</f>
        <v>0</v>
      </c>
      <c r="D76" s="7" t="n">
        <f aca="false">5月!L80</f>
        <v>0</v>
      </c>
      <c r="E76" s="7" t="n">
        <f aca="false">6月!L80</f>
        <v>0</v>
      </c>
      <c r="F76" s="7" t="n">
        <f aca="false">7月!L80</f>
        <v>0</v>
      </c>
      <c r="G76" s="7" t="n">
        <f aca="false">8月!L80</f>
        <v>8593</v>
      </c>
      <c r="H76" s="8" t="n">
        <f aca="false">SUM(C76:G76)</f>
        <v>8593</v>
      </c>
    </row>
    <row r="77" customFormat="false" ht="15" hidden="false" customHeight="false" outlineLevel="0" collapsed="false">
      <c r="A77" s="5"/>
      <c r="B77" s="6" t="s">
        <v>75</v>
      </c>
      <c r="C77" s="7" t="n">
        <f aca="false">4月!L81</f>
        <v>0</v>
      </c>
      <c r="D77" s="7" t="n">
        <f aca="false">5月!L81</f>
        <v>0</v>
      </c>
      <c r="E77" s="7" t="n">
        <f aca="false">6月!L81</f>
        <v>24827</v>
      </c>
      <c r="F77" s="7" t="n">
        <f aca="false">7月!L81</f>
        <v>0</v>
      </c>
      <c r="G77" s="7" t="n">
        <f aca="false">8月!L81</f>
        <v>19101</v>
      </c>
      <c r="H77" s="8" t="n">
        <f aca="false">SUM(C77:G77)</f>
        <v>43928</v>
      </c>
    </row>
    <row r="78" customFormat="false" ht="15" hidden="false" customHeight="false" outlineLevel="0" collapsed="false">
      <c r="A78" s="5"/>
      <c r="B78" s="6" t="s">
        <v>76</v>
      </c>
      <c r="C78" s="7" t="n">
        <f aca="false">4月!L82</f>
        <v>63343</v>
      </c>
      <c r="D78" s="7" t="n">
        <f aca="false">5月!L82</f>
        <v>67102</v>
      </c>
      <c r="E78" s="7" t="n">
        <f aca="false">6月!L82</f>
        <v>70598</v>
      </c>
      <c r="F78" s="7" t="n">
        <f aca="false">7月!L82</f>
        <v>50141</v>
      </c>
      <c r="G78" s="7" t="n">
        <f aca="false">8月!L82</f>
        <v>62511</v>
      </c>
      <c r="H78" s="8" t="n">
        <f aca="false">SUM(C78:G78)</f>
        <v>313695</v>
      </c>
    </row>
    <row r="79" customFormat="false" ht="15" hidden="false" customHeight="false" outlineLevel="0" collapsed="false">
      <c r="A79" s="5"/>
      <c r="B79" s="6" t="s">
        <v>77</v>
      </c>
      <c r="C79" s="7" t="n">
        <f aca="false">4月!L83</f>
        <v>5123</v>
      </c>
      <c r="D79" s="7" t="n">
        <f aca="false">5月!L83</f>
        <v>5399</v>
      </c>
      <c r="E79" s="7" t="n">
        <f aca="false">6月!L83</f>
        <v>4936</v>
      </c>
      <c r="F79" s="7" t="n">
        <f aca="false">7月!L83</f>
        <v>12544</v>
      </c>
      <c r="G79" s="7" t="n">
        <f aca="false">8月!L83</f>
        <v>9953</v>
      </c>
      <c r="H79" s="8" t="n">
        <f aca="false">SUM(C79:G79)</f>
        <v>37955</v>
      </c>
    </row>
    <row r="80" customFormat="false" ht="15" hidden="false" customHeight="false" outlineLevel="0" collapsed="false">
      <c r="A80" s="5"/>
      <c r="B80" s="9" t="s">
        <v>78</v>
      </c>
      <c r="C80" s="10" t="n">
        <f aca="false">4月!L85</f>
        <v>68466</v>
      </c>
      <c r="D80" s="10" t="n">
        <f aca="false">5月!L85</f>
        <v>72502</v>
      </c>
      <c r="E80" s="10" t="n">
        <f aca="false">6月!L85</f>
        <v>100361</v>
      </c>
      <c r="F80" s="10" t="n">
        <f aca="false">7月!L85</f>
        <v>62686</v>
      </c>
      <c r="G80" s="10" t="n">
        <f aca="false">8月!L85</f>
        <v>100157</v>
      </c>
      <c r="H80" s="11" t="n">
        <f aca="false">SUM(C80:G80)</f>
        <v>404172</v>
      </c>
    </row>
    <row r="81" customFormat="false" ht="15" hidden="false" customHeight="false" outlineLevel="0" collapsed="false">
      <c r="A81" s="5"/>
      <c r="B81" s="6" t="s">
        <v>79</v>
      </c>
      <c r="C81" s="7" t="n">
        <f aca="false">4月!L86</f>
        <v>1116797</v>
      </c>
      <c r="D81" s="7" t="n">
        <f aca="false">5月!L86</f>
        <v>951810</v>
      </c>
      <c r="E81" s="7" t="n">
        <f aca="false">6月!L86</f>
        <v>1807131</v>
      </c>
      <c r="F81" s="7" t="n">
        <f aca="false">7月!L86</f>
        <v>956645</v>
      </c>
      <c r="G81" s="7" t="n">
        <f aca="false">8月!L86</f>
        <v>1218673</v>
      </c>
      <c r="H81" s="8" t="n">
        <f aca="false">SUM(C81:G81)</f>
        <v>6051056</v>
      </c>
    </row>
    <row r="82" customFormat="false" ht="15" hidden="false" customHeight="false" outlineLevel="0" collapsed="false">
      <c r="A82" s="5"/>
      <c r="B82" s="6" t="s">
        <v>80</v>
      </c>
      <c r="C82" s="7" t="n">
        <f aca="false">4月!L87</f>
        <v>11576</v>
      </c>
      <c r="D82" s="7" t="n">
        <f aca="false">5月!L87</f>
        <v>27232</v>
      </c>
      <c r="E82" s="7" t="n">
        <f aca="false">6月!L87</f>
        <v>12580</v>
      </c>
      <c r="F82" s="7" t="n">
        <f aca="false">7月!L87</f>
        <v>12169</v>
      </c>
      <c r="G82" s="7" t="n">
        <f aca="false">8月!L87</f>
        <v>14471</v>
      </c>
      <c r="H82" s="8" t="n">
        <f aca="false">SUM(C82:G82)</f>
        <v>78028</v>
      </c>
    </row>
    <row r="83" customFormat="false" ht="15" hidden="false" customHeight="false" outlineLevel="0" collapsed="false">
      <c r="A83" s="5"/>
      <c r="B83" s="6" t="s">
        <v>62</v>
      </c>
      <c r="C83" s="7" t="n">
        <f aca="false">4月!L88</f>
        <v>0</v>
      </c>
      <c r="D83" s="7" t="n">
        <f aca="false">5月!L88</f>
        <v>0</v>
      </c>
      <c r="E83" s="7" t="n">
        <f aca="false">6月!L88</f>
        <v>0</v>
      </c>
      <c r="F83" s="7" t="n">
        <f aca="false">7月!L88</f>
        <v>0</v>
      </c>
      <c r="G83" s="7" t="n">
        <f aca="false">8月!L88</f>
        <v>0</v>
      </c>
      <c r="H83" s="8" t="n">
        <f aca="false">SUM(C83:G83)</f>
        <v>0</v>
      </c>
    </row>
    <row r="84" customFormat="false" ht="15" hidden="false" customHeight="false" outlineLevel="0" collapsed="false">
      <c r="A84" s="5"/>
      <c r="B84" s="6" t="s">
        <v>81</v>
      </c>
      <c r="C84" s="7" t="n">
        <f aca="false">4月!L89</f>
        <v>0</v>
      </c>
      <c r="D84" s="7" t="n">
        <f aca="false">5月!L89</f>
        <v>0</v>
      </c>
      <c r="E84" s="7" t="n">
        <f aca="false">6月!L89</f>
        <v>0</v>
      </c>
      <c r="F84" s="7" t="n">
        <f aca="false">7月!L89</f>
        <v>0</v>
      </c>
      <c r="G84" s="7" t="n">
        <f aca="false">8月!L89</f>
        <v>0</v>
      </c>
      <c r="H84" s="8" t="n">
        <f aca="false">SUM(C84:G84)</f>
        <v>0</v>
      </c>
    </row>
    <row r="85" customFormat="false" ht="15" hidden="false" customHeight="false" outlineLevel="0" collapsed="false">
      <c r="A85" s="5" t="s">
        <v>27</v>
      </c>
      <c r="B85" s="9" t="s">
        <v>82</v>
      </c>
      <c r="C85" s="10" t="n">
        <f aca="false">4月!L90</f>
        <v>1128373</v>
      </c>
      <c r="D85" s="10" t="n">
        <f aca="false">5月!L90</f>
        <v>979042</v>
      </c>
      <c r="E85" s="10" t="n">
        <f aca="false">6月!L90</f>
        <v>1819711</v>
      </c>
      <c r="F85" s="10" t="n">
        <f aca="false">7月!L90</f>
        <v>968815</v>
      </c>
      <c r="G85" s="10" t="n">
        <f aca="false">8月!L90</f>
        <v>1233143</v>
      </c>
      <c r="H85" s="11" t="n">
        <f aca="false">SUM(C85:G85)</f>
        <v>6129084</v>
      </c>
    </row>
    <row r="86" customFormat="false" ht="15" hidden="false" customHeight="false" outlineLevel="0" collapsed="false">
      <c r="A86" s="5"/>
      <c r="B86" s="9" t="s">
        <v>83</v>
      </c>
      <c r="C86" s="10" t="n">
        <f aca="false">4月!L91</f>
        <v>-1960568</v>
      </c>
      <c r="D86" s="10" t="n">
        <f aca="false">5月!L91</f>
        <v>-996483</v>
      </c>
      <c r="E86" s="10" t="n">
        <f aca="false">6月!L91</f>
        <v>4041113</v>
      </c>
      <c r="F86" s="10" t="n">
        <f aca="false">7月!L91</f>
        <v>-7363481</v>
      </c>
      <c r="G86" s="10" t="n">
        <f aca="false">8月!L91</f>
        <v>-2571672</v>
      </c>
      <c r="H86" s="11" t="n">
        <f aca="false">SUM(C86:G86)</f>
        <v>-8851091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19.4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3"/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customFormat="false" ht="15" hidden="false" customHeight="false" outlineLevel="0" collapsed="false">
      <c r="A5" s="5"/>
      <c r="B5" s="6" t="s">
        <v>9</v>
      </c>
      <c r="C5" s="7" t="n">
        <f aca="false">4月!J5</f>
        <v>15066113</v>
      </c>
      <c r="D5" s="7" t="n">
        <f aca="false">5月!J5</f>
        <v>10370303</v>
      </c>
      <c r="E5" s="7" t="n">
        <f aca="false">6月!J5</f>
        <v>13484950</v>
      </c>
      <c r="F5" s="7" t="n">
        <f aca="false">7月!J5</f>
        <v>22474506</v>
      </c>
      <c r="G5" s="7" t="n">
        <f aca="false">8月!J5</f>
        <v>15327119</v>
      </c>
      <c r="H5" s="8" t="n">
        <f aca="false">SUM(C5:G5)</f>
        <v>76722991</v>
      </c>
    </row>
    <row r="6" customFormat="false" ht="15" hidden="false" customHeight="false" outlineLevel="0" collapsed="false">
      <c r="A6" s="5"/>
      <c r="B6" s="6" t="s">
        <v>10</v>
      </c>
      <c r="C6" s="7" t="n">
        <f aca="false">4月!J6</f>
        <v>159489</v>
      </c>
      <c r="D6" s="7" t="n">
        <f aca="false">5月!J6</f>
        <v>77177</v>
      </c>
      <c r="E6" s="7" t="n">
        <f aca="false">6月!J6</f>
        <v>67178</v>
      </c>
      <c r="F6" s="7" t="n">
        <f aca="false">7月!J6</f>
        <v>222223</v>
      </c>
      <c r="G6" s="7" t="n">
        <f aca="false">8月!J6</f>
        <v>98576</v>
      </c>
      <c r="H6" s="8" t="n">
        <f aca="false">SUM(C6:G6)</f>
        <v>624643</v>
      </c>
    </row>
    <row r="7" customFormat="false" ht="15" hidden="false" customHeight="false" outlineLevel="0" collapsed="false">
      <c r="A7" s="5"/>
      <c r="B7" s="6" t="s">
        <v>11</v>
      </c>
      <c r="C7" s="7" t="n">
        <f aca="false">4月!J7</f>
        <v>1029</v>
      </c>
      <c r="D7" s="7" t="n">
        <f aca="false">5月!J7</f>
        <v>135792</v>
      </c>
      <c r="E7" s="7" t="n">
        <f aca="false">6月!J7</f>
        <v>33038</v>
      </c>
      <c r="F7" s="7" t="n">
        <f aca="false">7月!J7</f>
        <v>30144</v>
      </c>
      <c r="G7" s="7" t="n">
        <f aca="false">8月!J7</f>
        <v>378661</v>
      </c>
      <c r="H7" s="8" t="n">
        <f aca="false">SUM(C7:G7)</f>
        <v>578664</v>
      </c>
    </row>
    <row r="8" customFormat="false" ht="15" hidden="false" customHeight="false" outlineLevel="0" collapsed="false">
      <c r="A8" s="5"/>
      <c r="B8" s="9" t="s">
        <v>12</v>
      </c>
      <c r="C8" s="10" t="n">
        <f aca="false">4月!J8</f>
        <v>15224573</v>
      </c>
      <c r="D8" s="10" t="n">
        <f aca="false">5月!J8</f>
        <v>10311688</v>
      </c>
      <c r="E8" s="10" t="n">
        <f aca="false">6月!J8</f>
        <v>13519089</v>
      </c>
      <c r="F8" s="10" t="n">
        <f aca="false">7月!J8</f>
        <v>22666584</v>
      </c>
      <c r="G8" s="10" t="n">
        <f aca="false">8月!J8</f>
        <v>15047034</v>
      </c>
      <c r="H8" s="11" t="n">
        <f aca="false">SUM(C8:G8)</f>
        <v>76768968</v>
      </c>
    </row>
    <row r="9" customFormat="false" ht="15" hidden="false" customHeight="false" outlineLevel="0" collapsed="false">
      <c r="A9" s="5"/>
      <c r="B9" s="6" t="s">
        <v>13</v>
      </c>
      <c r="C9" s="7" t="n">
        <f aca="false">4月!J9</f>
        <v>22</v>
      </c>
      <c r="D9" s="7" t="n">
        <f aca="false">5月!J9</f>
        <v>20</v>
      </c>
      <c r="E9" s="7" t="n">
        <f aca="false">6月!J9</f>
        <v>19</v>
      </c>
      <c r="F9" s="7" t="n">
        <f aca="false">7月!J9</f>
        <v>26</v>
      </c>
      <c r="G9" s="7" t="n">
        <f aca="false">8月!J9</f>
        <v>19</v>
      </c>
      <c r="H9" s="8" t="n">
        <f aca="false">AVERAGE(C9:G9)</f>
        <v>21.2</v>
      </c>
    </row>
    <row r="10" customFormat="false" ht="15" hidden="false" customHeight="false" outlineLevel="0" collapsed="false">
      <c r="A10" s="5"/>
      <c r="B10" s="6" t="s">
        <v>14</v>
      </c>
      <c r="C10" s="7" t="n">
        <f aca="false">4月!J10</f>
        <v>63</v>
      </c>
      <c r="D10" s="7" t="n">
        <f aca="false">5月!J10</f>
        <v>54</v>
      </c>
      <c r="E10" s="7" t="n">
        <f aca="false">6月!J10</f>
        <v>47</v>
      </c>
      <c r="F10" s="7" t="n">
        <f aca="false">7月!J10</f>
        <v>45</v>
      </c>
      <c r="G10" s="7" t="n">
        <f aca="false">8月!J10</f>
        <v>49</v>
      </c>
      <c r="H10" s="8" t="n">
        <f aca="false">AVERAGE(C10:G10)</f>
        <v>51.6</v>
      </c>
    </row>
    <row r="11" customFormat="false" ht="15" hidden="false" customHeight="false" outlineLevel="0" collapsed="false">
      <c r="A11" s="5"/>
      <c r="B11" s="6" t="s">
        <v>15</v>
      </c>
      <c r="C11" s="7" t="n">
        <f aca="false">4月!J11</f>
        <v>166573</v>
      </c>
      <c r="D11" s="7" t="n">
        <f aca="false">5月!J11</f>
        <v>97062</v>
      </c>
      <c r="E11" s="7" t="n">
        <f aca="false">6月!J11</f>
        <v>120760</v>
      </c>
      <c r="F11" s="7" t="n">
        <f aca="false">7月!J11</f>
        <v>212234</v>
      </c>
      <c r="G11" s="7" t="n">
        <f aca="false">8月!J11</f>
        <v>126387</v>
      </c>
      <c r="H11" s="8" t="n">
        <f aca="false">AVERAGE(C11:G11)</f>
        <v>144603.2</v>
      </c>
    </row>
    <row r="12" customFormat="false" ht="15" hidden="false" customHeight="false" outlineLevel="0" collapsed="false">
      <c r="A12" s="5"/>
      <c r="B12" s="6" t="s">
        <v>16</v>
      </c>
      <c r="C12" s="7" t="n">
        <f aca="false">4月!J12</f>
        <v>2644</v>
      </c>
      <c r="D12" s="7" t="n">
        <f aca="false">5月!J12</f>
        <v>1797</v>
      </c>
      <c r="E12" s="7" t="n">
        <f aca="false">6月!J12</f>
        <v>2569</v>
      </c>
      <c r="F12" s="7" t="n">
        <f aca="false">7月!J12</f>
        <v>4716</v>
      </c>
      <c r="G12" s="7" t="n">
        <f aca="false">8月!J12</f>
        <v>2579</v>
      </c>
      <c r="H12" s="8" t="n">
        <f aca="false">AVERAGE(C12:G12)</f>
        <v>2861</v>
      </c>
    </row>
    <row r="13" customFormat="false" ht="15" hidden="false" customHeight="false" outlineLevel="0" collapsed="false">
      <c r="A13" s="5" t="s">
        <v>17</v>
      </c>
      <c r="B13" s="9" t="s">
        <v>18</v>
      </c>
      <c r="C13" s="10" t="n">
        <f aca="false">4月!J14</f>
        <v>1945667</v>
      </c>
      <c r="D13" s="10" t="n">
        <f aca="false">5月!J14</f>
        <v>509061</v>
      </c>
      <c r="E13" s="10" t="n">
        <f aca="false">6月!J14</f>
        <v>1451566</v>
      </c>
      <c r="F13" s="10" t="n">
        <f aca="false">7月!J14</f>
        <v>2734311</v>
      </c>
      <c r="G13" s="10" t="n">
        <f aca="false">8月!J14</f>
        <v>761754</v>
      </c>
      <c r="H13" s="11" t="n">
        <f aca="false">SUM(C13:G13)</f>
        <v>7402359</v>
      </c>
    </row>
    <row r="14" customFormat="false" ht="15" hidden="false" customHeight="false" outlineLevel="0" collapsed="false">
      <c r="A14" s="5"/>
      <c r="B14" s="6" t="s">
        <v>19</v>
      </c>
      <c r="C14" s="7" t="n">
        <f aca="false">4月!J15</f>
        <v>1589689</v>
      </c>
      <c r="D14" s="7" t="n">
        <f aca="false">5月!J15</f>
        <v>171937</v>
      </c>
      <c r="E14" s="7" t="n">
        <f aca="false">6月!J15</f>
        <v>338486</v>
      </c>
      <c r="F14" s="7" t="n">
        <f aca="false">7月!J15</f>
        <v>459920</v>
      </c>
      <c r="G14" s="7" t="n">
        <f aca="false">8月!J15</f>
        <v>395613</v>
      </c>
      <c r="H14" s="8" t="n">
        <f aca="false">SUM(C14:G14)</f>
        <v>2955645</v>
      </c>
    </row>
    <row r="15" customFormat="false" ht="15" hidden="false" customHeight="false" outlineLevel="0" collapsed="false">
      <c r="A15" s="5"/>
      <c r="B15" s="6" t="s">
        <v>20</v>
      </c>
      <c r="C15" s="7" t="n">
        <f aca="false">4月!J16</f>
        <v>355978</v>
      </c>
      <c r="D15" s="7" t="n">
        <f aca="false">5月!J16</f>
        <v>337124</v>
      </c>
      <c r="E15" s="7" t="n">
        <f aca="false">6月!J16</f>
        <v>1113080</v>
      </c>
      <c r="F15" s="7" t="n">
        <f aca="false">7月!J16</f>
        <v>2274391</v>
      </c>
      <c r="G15" s="7" t="n">
        <f aca="false">8月!J16</f>
        <v>366141</v>
      </c>
      <c r="H15" s="8" t="n">
        <f aca="false">SUM(C15:G15)</f>
        <v>4446714</v>
      </c>
    </row>
    <row r="16" customFormat="false" ht="15" hidden="false" customHeight="false" outlineLevel="0" collapsed="false">
      <c r="A16" s="5"/>
      <c r="B16" s="6" t="s">
        <v>21</v>
      </c>
      <c r="C16" s="7" t="n">
        <f aca="false">4月!J17</f>
        <v>6458565</v>
      </c>
      <c r="D16" s="7" t="n">
        <f aca="false">5月!J17</f>
        <v>5387897</v>
      </c>
      <c r="E16" s="7" t="n">
        <f aca="false">6月!J17</f>
        <v>5314472</v>
      </c>
      <c r="F16" s="7" t="n">
        <f aca="false">7月!J17</f>
        <v>8518226</v>
      </c>
      <c r="G16" s="7" t="n">
        <f aca="false">8月!J17</f>
        <v>5491857</v>
      </c>
      <c r="H16" s="8" t="n">
        <f aca="false">SUM(C16:G16)</f>
        <v>31171017</v>
      </c>
    </row>
    <row r="17" customFormat="false" ht="15" hidden="false" customHeight="false" outlineLevel="0" collapsed="false">
      <c r="A17" s="5"/>
      <c r="B17" s="6" t="s">
        <v>22</v>
      </c>
      <c r="C17" s="7" t="n">
        <f aca="false">4月!J18</f>
        <v>391859</v>
      </c>
      <c r="D17" s="7" t="n">
        <f aca="false">5月!J18</f>
        <v>0</v>
      </c>
      <c r="E17" s="7" t="n">
        <f aca="false">6月!J18</f>
        <v>0</v>
      </c>
      <c r="F17" s="7" t="n">
        <f aca="false">7月!J18</f>
        <v>265784</v>
      </c>
      <c r="G17" s="7" t="n">
        <f aca="false">8月!J18</f>
        <v>0</v>
      </c>
      <c r="H17" s="8" t="n">
        <f aca="false">SUM(C17:G17)</f>
        <v>657643</v>
      </c>
    </row>
    <row r="18" customFormat="false" ht="15" hidden="false" customHeight="false" outlineLevel="0" collapsed="false">
      <c r="A18" s="5"/>
      <c r="B18" s="6" t="s">
        <v>23</v>
      </c>
      <c r="C18" s="7" t="n">
        <f aca="false">4月!J19</f>
        <v>825497</v>
      </c>
      <c r="D18" s="7" t="n">
        <f aca="false">5月!J19</f>
        <v>0</v>
      </c>
      <c r="E18" s="7" t="n">
        <f aca="false">6月!J19</f>
        <v>1477845</v>
      </c>
      <c r="F18" s="7" t="n">
        <f aca="false">7月!J19</f>
        <v>1029999</v>
      </c>
      <c r="G18" s="7" t="n">
        <f aca="false">8月!J19</f>
        <v>912000</v>
      </c>
      <c r="H18" s="8" t="n">
        <f aca="false">SUM(C18:G18)</f>
        <v>4245341</v>
      </c>
    </row>
    <row r="19" customFormat="false" ht="15" hidden="false" customHeight="false" outlineLevel="0" collapsed="false">
      <c r="A19" s="5"/>
      <c r="B19" s="6" t="s">
        <v>24</v>
      </c>
      <c r="C19" s="7" t="n">
        <f aca="false">4月!J20</f>
        <v>168801</v>
      </c>
      <c r="D19" s="7" t="n">
        <f aca="false">5月!J20</f>
        <v>25111</v>
      </c>
      <c r="E19" s="7" t="n">
        <f aca="false">6月!J20</f>
        <v>0</v>
      </c>
      <c r="F19" s="7" t="n">
        <f aca="false">7月!J20</f>
        <v>0</v>
      </c>
      <c r="G19" s="7" t="n">
        <f aca="false">8月!J20</f>
        <v>0</v>
      </c>
      <c r="H19" s="8" t="n">
        <f aca="false">SUM(C19:G19)</f>
        <v>193912</v>
      </c>
    </row>
    <row r="20" customFormat="false" ht="15" hidden="false" customHeight="false" outlineLevel="0" collapsed="false">
      <c r="A20" s="5"/>
      <c r="B20" s="6" t="s">
        <v>25</v>
      </c>
      <c r="C20" s="7" t="n">
        <f aca="false">4月!J21</f>
        <v>0</v>
      </c>
      <c r="D20" s="7" t="n">
        <f aca="false">5月!J21</f>
        <v>0</v>
      </c>
      <c r="E20" s="7" t="n">
        <f aca="false">6月!J21</f>
        <v>0</v>
      </c>
      <c r="F20" s="7" t="n">
        <f aca="false">7月!J21</f>
        <v>0</v>
      </c>
      <c r="G20" s="7" t="n">
        <f aca="false">8月!J21</f>
        <v>0</v>
      </c>
      <c r="H20" s="8" t="n">
        <f aca="false">SUM(C20:G20)</f>
        <v>0</v>
      </c>
    </row>
    <row r="21" customFormat="false" ht="15" hidden="false" customHeight="false" outlineLevel="0" collapsed="false">
      <c r="A21" s="5"/>
      <c r="B21" s="6" t="s">
        <v>26</v>
      </c>
      <c r="C21" s="7" t="n">
        <f aca="false">4月!J22</f>
        <v>0</v>
      </c>
      <c r="D21" s="7" t="n">
        <f aca="false">5月!J22</f>
        <v>0</v>
      </c>
      <c r="E21" s="7" t="n">
        <f aca="false">6月!J22</f>
        <v>0</v>
      </c>
      <c r="F21" s="7" t="n">
        <f aca="false">7月!J22</f>
        <v>0</v>
      </c>
      <c r="G21" s="7" t="n">
        <f aca="false">8月!J22</f>
        <v>0</v>
      </c>
      <c r="H21" s="8" t="n">
        <f aca="false">SUM(C21:G21)</f>
        <v>0</v>
      </c>
    </row>
    <row r="22" customFormat="false" ht="15" hidden="false" customHeight="false" outlineLevel="0" collapsed="false">
      <c r="A22" s="5" t="s">
        <v>27</v>
      </c>
      <c r="B22" s="9" t="s">
        <v>28</v>
      </c>
      <c r="C22" s="10" t="n">
        <f aca="false">4月!J23</f>
        <v>7844721</v>
      </c>
      <c r="D22" s="10" t="n">
        <f aca="false">5月!J23</f>
        <v>5413008</v>
      </c>
      <c r="E22" s="10" t="n">
        <f aca="false">6月!J23</f>
        <v>6792317</v>
      </c>
      <c r="F22" s="10" t="n">
        <f aca="false">7月!J23</f>
        <v>9814009</v>
      </c>
      <c r="G22" s="10" t="n">
        <f aca="false">8月!J23</f>
        <v>6403858</v>
      </c>
      <c r="H22" s="11" t="n">
        <f aca="false">SUM(C22:G22)</f>
        <v>36267913</v>
      </c>
    </row>
    <row r="23" customFormat="false" ht="15" hidden="false" customHeight="false" outlineLevel="0" collapsed="false">
      <c r="A23" s="5" t="s">
        <v>17</v>
      </c>
      <c r="B23" s="9" t="s">
        <v>29</v>
      </c>
      <c r="C23" s="10" t="n">
        <f aca="false">4月!J24</f>
        <v>3579967</v>
      </c>
      <c r="D23" s="10" t="n">
        <f aca="false">5月!J24</f>
        <v>2380532</v>
      </c>
      <c r="E23" s="10" t="n">
        <f aca="false">6月!J24</f>
        <v>5280131</v>
      </c>
      <c r="F23" s="10" t="n">
        <f aca="false">7月!J24</f>
        <v>7263251</v>
      </c>
      <c r="G23" s="10" t="n">
        <f aca="false">8月!J24</f>
        <v>5700686</v>
      </c>
      <c r="H23" s="11" t="n">
        <f aca="false">SUM(C23:G23)</f>
        <v>24204567</v>
      </c>
    </row>
    <row r="24" customFormat="false" ht="15" hidden="false" customHeight="false" outlineLevel="0" collapsed="false">
      <c r="A24" s="5"/>
      <c r="B24" s="6" t="s">
        <v>30</v>
      </c>
      <c r="C24" s="7" t="n">
        <f aca="false">4月!J25</f>
        <v>709477</v>
      </c>
      <c r="D24" s="7" t="n">
        <f aca="false">5月!J25</f>
        <v>819405</v>
      </c>
      <c r="E24" s="7" t="n">
        <f aca="false">6月!J25</f>
        <v>755660</v>
      </c>
      <c r="F24" s="7" t="n">
        <f aca="false">7月!J25</f>
        <v>1288618</v>
      </c>
      <c r="G24" s="7" t="n">
        <f aca="false">8月!J25</f>
        <v>690505</v>
      </c>
      <c r="H24" s="8" t="n">
        <f aca="false">SUM(C24:G24)</f>
        <v>4263665</v>
      </c>
    </row>
    <row r="25" customFormat="false" ht="15" hidden="false" customHeight="false" outlineLevel="0" collapsed="false">
      <c r="A25" s="5"/>
      <c r="B25" s="6" t="s">
        <v>31</v>
      </c>
      <c r="C25" s="7" t="n">
        <f aca="false">4月!J26</f>
        <v>226470</v>
      </c>
      <c r="D25" s="7" t="n">
        <f aca="false">5月!J26</f>
        <v>91149</v>
      </c>
      <c r="E25" s="7" t="n">
        <f aca="false">6月!J26</f>
        <v>286352</v>
      </c>
      <c r="F25" s="7" t="n">
        <f aca="false">7月!J26</f>
        <v>709053</v>
      </c>
      <c r="G25" s="7" t="n">
        <f aca="false">8月!J26</f>
        <v>862744</v>
      </c>
      <c r="H25" s="8" t="n">
        <f aca="false">SUM(C25:G25)</f>
        <v>2175768</v>
      </c>
    </row>
    <row r="26" customFormat="false" ht="15" hidden="false" customHeight="false" outlineLevel="0" collapsed="false">
      <c r="A26" s="5"/>
      <c r="B26" s="6" t="s">
        <v>32</v>
      </c>
      <c r="C26" s="7" t="n">
        <f aca="false">4月!J27</f>
        <v>0</v>
      </c>
      <c r="D26" s="7" t="n">
        <f aca="false">5月!J27</f>
        <v>220294</v>
      </c>
      <c r="E26" s="7" t="n">
        <f aca="false">6月!J27</f>
        <v>530220</v>
      </c>
      <c r="F26" s="7" t="n">
        <f aca="false">7月!J27</f>
        <v>1306673</v>
      </c>
      <c r="G26" s="7" t="n">
        <f aca="false">8月!J27</f>
        <v>1251504</v>
      </c>
      <c r="H26" s="8" t="n">
        <f aca="false">SUM(C26:G26)</f>
        <v>3308691</v>
      </c>
    </row>
    <row r="27" customFormat="false" ht="15" hidden="false" customHeight="false" outlineLevel="0" collapsed="false">
      <c r="A27" s="5"/>
      <c r="B27" s="6" t="s">
        <v>33</v>
      </c>
      <c r="C27" s="7" t="n">
        <f aca="false">4月!J28</f>
        <v>1823880</v>
      </c>
      <c r="D27" s="7" t="n">
        <f aca="false">5月!J28</f>
        <v>1044522</v>
      </c>
      <c r="E27" s="7" t="n">
        <f aca="false">6月!J28</f>
        <v>1381910</v>
      </c>
      <c r="F27" s="7" t="n">
        <f aca="false">7月!J28</f>
        <v>2482803</v>
      </c>
      <c r="G27" s="7" t="n">
        <f aca="false">8月!J28</f>
        <v>1742850</v>
      </c>
      <c r="H27" s="8" t="n">
        <f aca="false">SUM(C27:G27)</f>
        <v>8475965</v>
      </c>
    </row>
    <row r="28" customFormat="false" ht="15" hidden="false" customHeight="false" outlineLevel="0" collapsed="false">
      <c r="A28" s="5"/>
      <c r="B28" s="6" t="s">
        <v>34</v>
      </c>
      <c r="C28" s="7" t="n">
        <f aca="false">4月!J29</f>
        <v>135700</v>
      </c>
      <c r="D28" s="7" t="n">
        <f aca="false">5月!J29</f>
        <v>128800</v>
      </c>
      <c r="E28" s="7" t="n">
        <f aca="false">6月!J29</f>
        <v>113750</v>
      </c>
      <c r="F28" s="7" t="n">
        <f aca="false">7月!J29</f>
        <v>62960</v>
      </c>
      <c r="G28" s="7" t="n">
        <f aca="false">8月!J29</f>
        <v>112400</v>
      </c>
      <c r="H28" s="8" t="n">
        <f aca="false">SUM(C28:G28)</f>
        <v>553610</v>
      </c>
    </row>
    <row r="29" customFormat="false" ht="15" hidden="false" customHeight="false" outlineLevel="0" collapsed="false">
      <c r="A29" s="5"/>
      <c r="B29" s="6" t="s">
        <v>35</v>
      </c>
      <c r="C29" s="7" t="n">
        <f aca="false">4月!J30</f>
        <v>684440</v>
      </c>
      <c r="D29" s="7" t="n">
        <f aca="false">5月!J30</f>
        <v>76362</v>
      </c>
      <c r="E29" s="7" t="n">
        <f aca="false">6月!J30</f>
        <v>1708239</v>
      </c>
      <c r="F29" s="7" t="n">
        <f aca="false">7月!J30</f>
        <v>675179</v>
      </c>
      <c r="G29" s="7" t="n">
        <f aca="false">8月!J30</f>
        <v>596235</v>
      </c>
      <c r="H29" s="8" t="n">
        <f aca="false">SUM(C29:G29)</f>
        <v>3740455</v>
      </c>
    </row>
    <row r="30" customFormat="false" ht="15" hidden="false" customHeight="false" outlineLevel="0" collapsed="false">
      <c r="A30" s="5"/>
      <c r="B30" s="6" t="s">
        <v>36</v>
      </c>
      <c r="C30" s="7" t="n">
        <f aca="false">4月!J31</f>
        <v>0</v>
      </c>
      <c r="D30" s="7" t="n">
        <f aca="false">5月!J31</f>
        <v>0</v>
      </c>
      <c r="E30" s="7" t="n">
        <f aca="false">6月!J31</f>
        <v>504000</v>
      </c>
      <c r="F30" s="7" t="n">
        <f aca="false">7月!J31</f>
        <v>737965</v>
      </c>
      <c r="G30" s="7" t="n">
        <f aca="false">8月!J31</f>
        <v>444448</v>
      </c>
      <c r="H30" s="8" t="n">
        <f aca="false">SUM(C30:G30)</f>
        <v>1686413</v>
      </c>
    </row>
    <row r="31" customFormat="false" ht="15" hidden="false" customHeight="false" outlineLevel="0" collapsed="false">
      <c r="A31" s="5" t="s">
        <v>17</v>
      </c>
      <c r="B31" s="6" t="s">
        <v>37</v>
      </c>
      <c r="C31" s="7" t="n">
        <f aca="false">4月!J32</f>
        <v>303077</v>
      </c>
      <c r="D31" s="7" t="n">
        <f aca="false">5月!J32</f>
        <v>212721</v>
      </c>
      <c r="E31" s="7" t="n">
        <f aca="false">6月!J32</f>
        <v>194747</v>
      </c>
      <c r="F31" s="7" t="n">
        <f aca="false">7月!J32</f>
        <v>508540</v>
      </c>
      <c r="G31" s="7" t="n">
        <f aca="false">8月!J32</f>
        <v>307738</v>
      </c>
      <c r="H31" s="8" t="n">
        <f aca="false">SUM(C31:G31)</f>
        <v>1526823</v>
      </c>
    </row>
    <row r="32" customFormat="false" ht="15" hidden="false" customHeight="false" outlineLevel="0" collapsed="false">
      <c r="A32" s="5" t="s">
        <v>27</v>
      </c>
      <c r="B32" s="6" t="s">
        <v>38</v>
      </c>
      <c r="C32" s="7" t="n">
        <f aca="false">4月!J33</f>
        <v>144473</v>
      </c>
      <c r="D32" s="7" t="n">
        <f aca="false">5月!J33</f>
        <v>110903</v>
      </c>
      <c r="E32" s="7" t="n">
        <f aca="false">6月!J33</f>
        <v>103118</v>
      </c>
      <c r="F32" s="7" t="n">
        <f aca="false">7月!J33</f>
        <v>110903</v>
      </c>
      <c r="G32" s="7" t="n">
        <f aca="false">8月!J33</f>
        <v>101982</v>
      </c>
      <c r="H32" s="8" t="n">
        <f aca="false">SUM(C32:G32)</f>
        <v>571379</v>
      </c>
    </row>
    <row r="33" customFormat="false" ht="15" hidden="false" customHeight="false" outlineLevel="0" collapsed="false">
      <c r="A33" s="5" t="s">
        <v>17</v>
      </c>
      <c r="B33" s="6" t="s">
        <v>39</v>
      </c>
      <c r="C33" s="7" t="n">
        <f aca="false">4月!J34</f>
        <v>458707</v>
      </c>
      <c r="D33" s="7" t="n">
        <f aca="false">5月!J34</f>
        <v>466746</v>
      </c>
      <c r="E33" s="7" t="n">
        <f aca="false">6月!J34</f>
        <v>134389</v>
      </c>
      <c r="F33" s="7" t="n">
        <f aca="false">7月!J34</f>
        <v>203406</v>
      </c>
      <c r="G33" s="7" t="n">
        <f aca="false">8月!J34</f>
        <v>28742</v>
      </c>
      <c r="H33" s="8" t="n">
        <f aca="false">SUM(C33:G33)</f>
        <v>1291990</v>
      </c>
    </row>
    <row r="34" customFormat="false" ht="15" hidden="false" customHeight="false" outlineLevel="0" collapsed="false">
      <c r="A34" s="5" t="s">
        <v>27</v>
      </c>
      <c r="B34" s="6" t="s">
        <v>40</v>
      </c>
      <c r="C34" s="7" t="n">
        <f aca="false">4月!J35</f>
        <v>2549697</v>
      </c>
      <c r="D34" s="7" t="n">
        <f aca="false">5月!J35</f>
        <v>2549697</v>
      </c>
      <c r="E34" s="7" t="n">
        <f aca="false">6月!J35</f>
        <v>2549697</v>
      </c>
      <c r="F34" s="7" t="n">
        <f aca="false">7月!J35</f>
        <v>2549697</v>
      </c>
      <c r="G34" s="7" t="n">
        <f aca="false">8月!J35</f>
        <v>2549697</v>
      </c>
      <c r="H34" s="8" t="n">
        <f aca="false">SUM(C34:G34)</f>
        <v>12748485</v>
      </c>
    </row>
    <row r="35" customFormat="false" ht="15" hidden="false" customHeight="false" outlineLevel="0" collapsed="false">
      <c r="A35" s="5" t="s">
        <v>17</v>
      </c>
      <c r="B35" s="6" t="s">
        <v>41</v>
      </c>
      <c r="C35" s="7" t="n">
        <f aca="false">4月!J36</f>
        <v>143629</v>
      </c>
      <c r="D35" s="7" t="n">
        <f aca="false">5月!J36</f>
        <v>30378</v>
      </c>
      <c r="E35" s="7" t="n">
        <f aca="false">6月!J36</f>
        <v>98018</v>
      </c>
      <c r="F35" s="7" t="n">
        <f aca="false">7月!J36</f>
        <v>26944</v>
      </c>
      <c r="G35" s="7" t="n">
        <f aca="false">8月!J36</f>
        <v>82702</v>
      </c>
      <c r="H35" s="8" t="n">
        <f aca="false">SUM(C35:G35)</f>
        <v>381671</v>
      </c>
    </row>
    <row r="36" customFormat="false" ht="15" hidden="false" customHeight="false" outlineLevel="0" collapsed="false">
      <c r="A36" s="5" t="s">
        <v>27</v>
      </c>
      <c r="B36" s="6" t="s">
        <v>42</v>
      </c>
      <c r="C36" s="7" t="n">
        <f aca="false">4月!J37</f>
        <v>26657</v>
      </c>
      <c r="D36" s="7" t="n">
        <f aca="false">5月!J37</f>
        <v>45853</v>
      </c>
      <c r="E36" s="7" t="n">
        <f aca="false">6月!J37</f>
        <v>29842</v>
      </c>
      <c r="F36" s="7" t="n">
        <f aca="false">7月!J37</f>
        <v>46293</v>
      </c>
      <c r="G36" s="7" t="n">
        <f aca="false">8月!J37</f>
        <v>43965</v>
      </c>
      <c r="H36" s="8" t="n">
        <f aca="false">SUM(C36:G36)</f>
        <v>192610</v>
      </c>
    </row>
    <row r="37" customFormat="false" ht="15" hidden="false" customHeight="false" outlineLevel="0" collapsed="false">
      <c r="A37" s="5" t="s">
        <v>27</v>
      </c>
      <c r="B37" s="6" t="s">
        <v>43</v>
      </c>
      <c r="C37" s="7" t="n">
        <f aca="false">4月!J38</f>
        <v>31795</v>
      </c>
      <c r="D37" s="7" t="n">
        <f aca="false">5月!J38</f>
        <v>6219</v>
      </c>
      <c r="E37" s="7" t="n">
        <f aca="false">6月!J38</f>
        <v>6848</v>
      </c>
      <c r="F37" s="7" t="n">
        <f aca="false">7月!J38</f>
        <v>47121</v>
      </c>
      <c r="G37" s="7" t="n">
        <f aca="false">8月!J38</f>
        <v>25940</v>
      </c>
      <c r="H37" s="8" t="n">
        <f aca="false">SUM(C37:G37)</f>
        <v>117923</v>
      </c>
    </row>
    <row r="38" customFormat="false" ht="15" hidden="false" customHeight="false" outlineLevel="0" collapsed="false">
      <c r="A38" s="5" t="s">
        <v>27</v>
      </c>
      <c r="B38" s="6" t="s">
        <v>44</v>
      </c>
      <c r="C38" s="7" t="n">
        <f aca="false">4月!J39</f>
        <v>0</v>
      </c>
      <c r="D38" s="7" t="n">
        <f aca="false">5月!J39</f>
        <v>44600</v>
      </c>
      <c r="E38" s="7" t="n">
        <f aca="false">6月!J39</f>
        <v>0</v>
      </c>
      <c r="F38" s="7" t="n">
        <f aca="false">7月!J39</f>
        <v>8082</v>
      </c>
      <c r="G38" s="7" t="n">
        <f aca="false">8月!J39</f>
        <v>0</v>
      </c>
      <c r="H38" s="8" t="n">
        <f aca="false">SUM(C38:G38)</f>
        <v>52682</v>
      </c>
    </row>
    <row r="39" customFormat="false" ht="15" hidden="false" customHeight="false" outlineLevel="0" collapsed="false">
      <c r="A39" s="5" t="s">
        <v>17</v>
      </c>
      <c r="B39" s="6" t="s">
        <v>45</v>
      </c>
      <c r="C39" s="7" t="n">
        <f aca="false">4月!J40</f>
        <v>57555</v>
      </c>
      <c r="D39" s="7" t="n">
        <f aca="false">5月!J40</f>
        <v>33737</v>
      </c>
      <c r="E39" s="7" t="n">
        <f aca="false">6月!J40</f>
        <v>0</v>
      </c>
      <c r="F39" s="7" t="n">
        <f aca="false">7月!J40</f>
        <v>38782</v>
      </c>
      <c r="G39" s="7" t="n">
        <f aca="false">8月!J40</f>
        <v>0</v>
      </c>
      <c r="H39" s="8" t="n">
        <f aca="false">SUM(C39:G39)</f>
        <v>130074</v>
      </c>
    </row>
    <row r="40" customFormat="false" ht="15" hidden="false" customHeight="false" outlineLevel="0" collapsed="false">
      <c r="A40" s="5" t="s">
        <v>17</v>
      </c>
      <c r="B40" s="6" t="s">
        <v>46</v>
      </c>
      <c r="C40" s="7" t="n">
        <f aca="false">4月!J41</f>
        <v>22391</v>
      </c>
      <c r="D40" s="7" t="n">
        <f aca="false">5月!J41</f>
        <v>11537</v>
      </c>
      <c r="E40" s="7" t="n">
        <f aca="false">6月!J41</f>
        <v>14790</v>
      </c>
      <c r="F40" s="7" t="n">
        <f aca="false">7月!J41</f>
        <v>30432</v>
      </c>
      <c r="G40" s="7" t="n">
        <f aca="false">8月!J41</f>
        <v>13287</v>
      </c>
      <c r="H40" s="8" t="n">
        <f aca="false">SUM(C40:G40)</f>
        <v>92437</v>
      </c>
    </row>
    <row r="41" customFormat="false" ht="15" hidden="false" customHeight="false" outlineLevel="0" collapsed="false">
      <c r="A41" s="5" t="s">
        <v>17</v>
      </c>
      <c r="B41" s="6" t="s">
        <v>47</v>
      </c>
      <c r="C41" s="7" t="n">
        <f aca="false">4月!J42</f>
        <v>88681</v>
      </c>
      <c r="D41" s="7" t="n">
        <f aca="false">5月!J42</f>
        <v>50817</v>
      </c>
      <c r="E41" s="7" t="n">
        <f aca="false">6月!J42</f>
        <v>78837</v>
      </c>
      <c r="F41" s="7" t="n">
        <f aca="false">7月!J42</f>
        <v>148405</v>
      </c>
      <c r="G41" s="7" t="n">
        <f aca="false">8月!J42</f>
        <v>88529</v>
      </c>
      <c r="H41" s="8" t="n">
        <f aca="false">SUM(C41:G41)</f>
        <v>455269</v>
      </c>
    </row>
    <row r="42" customFormat="false" ht="15" hidden="false" customHeight="false" outlineLevel="0" collapsed="false">
      <c r="A42" s="5" t="s">
        <v>27</v>
      </c>
      <c r="B42" s="6" t="s">
        <v>48</v>
      </c>
      <c r="C42" s="7" t="n">
        <f aca="false">4月!J43</f>
        <v>113716</v>
      </c>
      <c r="D42" s="7" t="n">
        <f aca="false">5月!J43</f>
        <v>114116</v>
      </c>
      <c r="E42" s="7" t="n">
        <f aca="false">6月!J43</f>
        <v>118591</v>
      </c>
      <c r="F42" s="7" t="n">
        <f aca="false">7月!J43</f>
        <v>120466</v>
      </c>
      <c r="G42" s="7" t="n">
        <f aca="false">8月!J43</f>
        <v>151950</v>
      </c>
      <c r="H42" s="8" t="n">
        <f aca="false">SUM(C42:G42)</f>
        <v>618839</v>
      </c>
    </row>
    <row r="43" customFormat="false" ht="15" hidden="false" customHeight="false" outlineLevel="0" collapsed="false">
      <c r="A43" s="5" t="s">
        <v>27</v>
      </c>
      <c r="B43" s="6" t="s">
        <v>49</v>
      </c>
      <c r="C43" s="7" t="n">
        <f aca="false">4月!J44</f>
        <v>151950</v>
      </c>
      <c r="D43" s="7" t="n">
        <f aca="false">5月!J44</f>
        <v>151950</v>
      </c>
      <c r="E43" s="7" t="n">
        <f aca="false">6月!J44</f>
        <v>151950</v>
      </c>
      <c r="F43" s="7" t="n">
        <f aca="false">7月!J44</f>
        <v>151950</v>
      </c>
      <c r="G43" s="7" t="n">
        <f aca="false">8月!J44</f>
        <v>105975</v>
      </c>
      <c r="H43" s="8" t="n">
        <f aca="false">SUM(C43:G43)</f>
        <v>713775</v>
      </c>
    </row>
    <row r="44" customFormat="false" ht="15" hidden="false" customHeight="false" outlineLevel="0" collapsed="false">
      <c r="A44" s="5"/>
      <c r="B44" s="9" t="s">
        <v>50</v>
      </c>
      <c r="C44" s="10" t="n">
        <f aca="false">4月!J45</f>
        <v>4092327</v>
      </c>
      <c r="D44" s="10" t="n">
        <f aca="false">5月!J45</f>
        <v>3829272</v>
      </c>
      <c r="E44" s="10" t="n">
        <f aca="false">6月!J45</f>
        <v>3480826</v>
      </c>
      <c r="F44" s="10" t="n">
        <f aca="false">7月!J45</f>
        <v>3991023</v>
      </c>
      <c r="G44" s="10" t="n">
        <f aca="false">8月!J45</f>
        <v>3500508</v>
      </c>
      <c r="H44" s="11" t="n">
        <f aca="false">SUM(C44:G44)</f>
        <v>18893956</v>
      </c>
    </row>
    <row r="45" customFormat="false" ht="15" hidden="false" customHeight="false" outlineLevel="0" collapsed="false">
      <c r="A45" s="5"/>
      <c r="B45" s="9" t="s">
        <v>51</v>
      </c>
      <c r="C45" s="10" t="n">
        <f aca="false">4月!J46</f>
        <v>17462683</v>
      </c>
      <c r="D45" s="10" t="n">
        <f aca="false">5月!J46</f>
        <v>12131873</v>
      </c>
      <c r="E45" s="10" t="n">
        <f aca="false">6月!J46</f>
        <v>17004841</v>
      </c>
      <c r="F45" s="10" t="n">
        <f aca="false">7月!J46</f>
        <v>23802595</v>
      </c>
      <c r="G45" s="10" t="n">
        <f aca="false">8月!J46</f>
        <v>16366806</v>
      </c>
      <c r="H45" s="11" t="n">
        <f aca="false">SUM(C45:G45)</f>
        <v>86768798</v>
      </c>
    </row>
    <row r="46" customFormat="false" ht="15" hidden="false" customHeight="false" outlineLevel="0" collapsed="false">
      <c r="A46" s="5"/>
      <c r="B46" s="9" t="s">
        <v>52</v>
      </c>
      <c r="C46" s="10" t="n">
        <f aca="false">4月!J49</f>
        <v>17462683</v>
      </c>
      <c r="D46" s="10" t="n">
        <f aca="false">5月!J49</f>
        <v>12131873</v>
      </c>
      <c r="E46" s="10" t="n">
        <f aca="false">6月!J49</f>
        <v>17004841</v>
      </c>
      <c r="F46" s="10" t="n">
        <f aca="false">7月!J49</f>
        <v>23802595</v>
      </c>
      <c r="G46" s="10" t="n">
        <f aca="false">8月!J49</f>
        <v>16366806</v>
      </c>
      <c r="H46" s="11" t="n">
        <f aca="false">SUM(C46:G46)</f>
        <v>86768798</v>
      </c>
    </row>
    <row r="47" customFormat="false" ht="15" hidden="false" customHeight="false" outlineLevel="0" collapsed="false">
      <c r="A47" s="5"/>
      <c r="B47" s="9" t="s">
        <v>53</v>
      </c>
      <c r="C47" s="10" t="n">
        <f aca="false">4月!J50</f>
        <v>-2238110</v>
      </c>
      <c r="D47" s="10" t="n">
        <f aca="false">5月!J50</f>
        <v>-1820185</v>
      </c>
      <c r="E47" s="10" t="n">
        <f aca="false">6月!J50</f>
        <v>-3485751</v>
      </c>
      <c r="F47" s="10" t="n">
        <f aca="false">7月!J50</f>
        <v>-1136010</v>
      </c>
      <c r="G47" s="10" t="n">
        <f aca="false">8月!J50</f>
        <v>-1319771</v>
      </c>
      <c r="H47" s="11" t="n">
        <f aca="false">SUM(C47:G47)</f>
        <v>-9999827</v>
      </c>
    </row>
    <row r="48" customFormat="false" ht="15" hidden="false" customHeight="false" outlineLevel="0" collapsed="false">
      <c r="A48" s="5"/>
      <c r="B48" s="6" t="s">
        <v>54</v>
      </c>
      <c r="C48" s="7" t="n">
        <f aca="false">4月!J51</f>
        <v>1477526</v>
      </c>
      <c r="D48" s="7" t="n">
        <f aca="false">5月!J51</f>
        <v>1477526</v>
      </c>
      <c r="E48" s="7" t="n">
        <f aca="false">6月!J51</f>
        <v>1477526</v>
      </c>
      <c r="F48" s="7" t="n">
        <f aca="false">7月!J51</f>
        <v>1477526</v>
      </c>
      <c r="G48" s="7" t="n">
        <f aca="false">8月!J51</f>
        <v>1477526</v>
      </c>
      <c r="H48" s="8" t="n">
        <f aca="false">SUM(C48:G48)</f>
        <v>7387630</v>
      </c>
    </row>
    <row r="49" customFormat="false" ht="15" hidden="false" customHeight="false" outlineLevel="0" collapsed="false">
      <c r="A49" s="5"/>
      <c r="B49" s="6" t="s">
        <v>55</v>
      </c>
      <c r="C49" s="7" t="n">
        <f aca="false">4月!J52</f>
        <v>1470904</v>
      </c>
      <c r="D49" s="7" t="n">
        <f aca="false">5月!J52</f>
        <v>1517463</v>
      </c>
      <c r="E49" s="7" t="n">
        <f aca="false">6月!J52</f>
        <v>1182682</v>
      </c>
      <c r="F49" s="7" t="n">
        <f aca="false">7月!J52</f>
        <v>1464234</v>
      </c>
      <c r="G49" s="7" t="n">
        <f aca="false">8月!J52</f>
        <v>1062182</v>
      </c>
      <c r="H49" s="8" t="n">
        <f aca="false">SUM(C49:G49)</f>
        <v>6697465</v>
      </c>
    </row>
    <row r="50" customFormat="false" ht="15" hidden="false" customHeight="false" outlineLevel="0" collapsed="false">
      <c r="A50" s="5"/>
      <c r="B50" s="6" t="s">
        <v>23</v>
      </c>
      <c r="C50" s="7" t="n">
        <f aca="false">4月!J53</f>
        <v>341752</v>
      </c>
      <c r="D50" s="7" t="n">
        <f aca="false">5月!J53</f>
        <v>0</v>
      </c>
      <c r="E50" s="7" t="n">
        <f aca="false">6月!J53</f>
        <v>555250</v>
      </c>
      <c r="F50" s="7" t="n">
        <f aca="false">7月!J53</f>
        <v>291564</v>
      </c>
      <c r="G50" s="7" t="n">
        <f aca="false">8月!J53</f>
        <v>303314</v>
      </c>
      <c r="H50" s="8" t="n">
        <f aca="false">SUM(C50:G50)</f>
        <v>1491880</v>
      </c>
    </row>
    <row r="51" customFormat="false" ht="15" hidden="false" customHeight="false" outlineLevel="0" collapsed="false">
      <c r="A51" s="5"/>
      <c r="B51" s="6" t="s">
        <v>24</v>
      </c>
      <c r="C51" s="7" t="n">
        <f aca="false">4月!J54</f>
        <v>4882</v>
      </c>
      <c r="D51" s="7" t="n">
        <f aca="false">5月!J54</f>
        <v>11639</v>
      </c>
      <c r="E51" s="7" t="n">
        <f aca="false">6月!J54</f>
        <v>3315</v>
      </c>
      <c r="F51" s="7" t="n">
        <f aca="false">7月!J54</f>
        <v>3565</v>
      </c>
      <c r="G51" s="7" t="n">
        <f aca="false">8月!J54</f>
        <v>4345</v>
      </c>
      <c r="H51" s="8" t="n">
        <f aca="false">SUM(C51:G51)</f>
        <v>27746</v>
      </c>
    </row>
    <row r="52" customFormat="false" ht="15" hidden="false" customHeight="false" outlineLevel="0" collapsed="false">
      <c r="A52" s="5"/>
      <c r="B52" s="6" t="s">
        <v>56</v>
      </c>
      <c r="C52" s="7" t="n">
        <f aca="false">4月!J55</f>
        <v>25030</v>
      </c>
      <c r="D52" s="7" t="n">
        <f aca="false">5月!J55</f>
        <v>27893</v>
      </c>
      <c r="E52" s="7" t="n">
        <f aca="false">6月!J55</f>
        <v>209351</v>
      </c>
      <c r="F52" s="7" t="n">
        <f aca="false">7月!J55</f>
        <v>250302</v>
      </c>
      <c r="G52" s="7" t="n">
        <f aca="false">8月!J55</f>
        <v>47255</v>
      </c>
      <c r="H52" s="8" t="n">
        <f aca="false">SUM(C52:G52)</f>
        <v>559831</v>
      </c>
    </row>
    <row r="53" customFormat="false" ht="15" hidden="false" customHeight="false" outlineLevel="0" collapsed="false">
      <c r="A53" s="5"/>
      <c r="B53" s="6" t="s">
        <v>57</v>
      </c>
      <c r="C53" s="7" t="n">
        <f aca="false">4月!J56</f>
        <v>58409</v>
      </c>
      <c r="D53" s="7" t="n">
        <f aca="false">5月!J56</f>
        <v>30623</v>
      </c>
      <c r="E53" s="7" t="n">
        <f aca="false">6月!J56</f>
        <v>65434</v>
      </c>
      <c r="F53" s="7" t="n">
        <f aca="false">7月!J56</f>
        <v>52131</v>
      </c>
      <c r="G53" s="7" t="n">
        <f aca="false">8月!J56</f>
        <v>44646</v>
      </c>
      <c r="H53" s="8" t="n">
        <f aca="false">SUM(C53:G53)</f>
        <v>251243</v>
      </c>
    </row>
    <row r="54" customFormat="false" ht="15" hidden="false" customHeight="false" outlineLevel="0" collapsed="false">
      <c r="A54" s="5"/>
      <c r="B54" s="6" t="s">
        <v>58</v>
      </c>
      <c r="C54" s="7" t="n">
        <f aca="false">4月!J57</f>
        <v>0</v>
      </c>
      <c r="D54" s="7" t="n">
        <f aca="false">5月!J57</f>
        <v>152681</v>
      </c>
      <c r="E54" s="7" t="n">
        <f aca="false">6月!J57</f>
        <v>101800</v>
      </c>
      <c r="F54" s="7" t="n">
        <f aca="false">7月!J57</f>
        <v>111470</v>
      </c>
      <c r="G54" s="7" t="n">
        <f aca="false">8月!J57</f>
        <v>0</v>
      </c>
      <c r="H54" s="8" t="n">
        <f aca="false">SUM(C54:G54)</f>
        <v>365951</v>
      </c>
    </row>
    <row r="55" customFormat="false" ht="15" hidden="false" customHeight="false" outlineLevel="0" collapsed="false">
      <c r="A55" s="5"/>
      <c r="B55" s="6" t="s">
        <v>59</v>
      </c>
      <c r="C55" s="7" t="n">
        <f aca="false">4月!J58</f>
        <v>0</v>
      </c>
      <c r="D55" s="7" t="n">
        <f aca="false">5月!J58</f>
        <v>2254</v>
      </c>
      <c r="E55" s="7" t="n">
        <f aca="false">6月!J58</f>
        <v>21643</v>
      </c>
      <c r="F55" s="7" t="n">
        <f aca="false">7月!J58</f>
        <v>101916</v>
      </c>
      <c r="G55" s="7" t="n">
        <f aca="false">8月!J58</f>
        <v>12217</v>
      </c>
      <c r="H55" s="8" t="n">
        <f aca="false">SUM(C55:G55)</f>
        <v>138030</v>
      </c>
    </row>
    <row r="56" customFormat="false" ht="15" hidden="false" customHeight="false" outlineLevel="0" collapsed="false">
      <c r="A56" s="5"/>
      <c r="B56" s="6" t="s">
        <v>60</v>
      </c>
      <c r="C56" s="7" t="n">
        <f aca="false">4月!J59</f>
        <v>0</v>
      </c>
      <c r="D56" s="7" t="n">
        <f aca="false">5月!J59</f>
        <v>0</v>
      </c>
      <c r="E56" s="7" t="n">
        <f aca="false">6月!J59</f>
        <v>0</v>
      </c>
      <c r="F56" s="7" t="n">
        <f aca="false">7月!J59</f>
        <v>0</v>
      </c>
      <c r="G56" s="7" t="n">
        <f aca="false">8月!J59</f>
        <v>0</v>
      </c>
      <c r="H56" s="8" t="n">
        <f aca="false">SUM(C56:G56)</f>
        <v>0</v>
      </c>
    </row>
    <row r="57" customFormat="false" ht="15" hidden="false" customHeight="false" outlineLevel="0" collapsed="false">
      <c r="A57" s="5"/>
      <c r="B57" s="6" t="s">
        <v>42</v>
      </c>
      <c r="C57" s="7" t="n">
        <f aca="false">4月!J60</f>
        <v>74914</v>
      </c>
      <c r="D57" s="7" t="n">
        <f aca="false">5月!J60</f>
        <v>68607</v>
      </c>
      <c r="E57" s="7" t="n">
        <f aca="false">6月!J60</f>
        <v>2853</v>
      </c>
      <c r="F57" s="7" t="n">
        <f aca="false">7月!J60</f>
        <v>22483</v>
      </c>
      <c r="G57" s="7" t="n">
        <f aca="false">8月!J60</f>
        <v>25336</v>
      </c>
      <c r="H57" s="8" t="n">
        <f aca="false">SUM(C57:G57)</f>
        <v>194193</v>
      </c>
    </row>
    <row r="58" customFormat="false" ht="15" hidden="false" customHeight="false" outlineLevel="0" collapsed="false">
      <c r="A58" s="5"/>
      <c r="B58" s="6" t="s">
        <v>44</v>
      </c>
      <c r="C58" s="7" t="n">
        <f aca="false">4月!J61</f>
        <v>0</v>
      </c>
      <c r="D58" s="7" t="n">
        <f aca="false">5月!J61</f>
        <v>2000</v>
      </c>
      <c r="E58" s="7" t="n">
        <f aca="false">6月!J61</f>
        <v>804850</v>
      </c>
      <c r="F58" s="7" t="n">
        <f aca="false">7月!J61</f>
        <v>875</v>
      </c>
      <c r="G58" s="7" t="n">
        <f aca="false">8月!J61</f>
        <v>700</v>
      </c>
      <c r="H58" s="8" t="n">
        <f aca="false">SUM(C58:G58)</f>
        <v>808425</v>
      </c>
    </row>
    <row r="59" customFormat="false" ht="15" hidden="false" customHeight="false" outlineLevel="0" collapsed="false">
      <c r="A59" s="5"/>
      <c r="B59" s="6" t="s">
        <v>61</v>
      </c>
      <c r="C59" s="7" t="n">
        <f aca="false">4月!J62</f>
        <v>4259</v>
      </c>
      <c r="D59" s="7" t="n">
        <f aca="false">5月!J62</f>
        <v>3192</v>
      </c>
      <c r="E59" s="7" t="n">
        <f aca="false">6月!J62</f>
        <v>4259</v>
      </c>
      <c r="F59" s="7" t="n">
        <f aca="false">7月!J62</f>
        <v>3901</v>
      </c>
      <c r="G59" s="7" t="n">
        <f aca="false">8月!J62</f>
        <v>4259</v>
      </c>
      <c r="H59" s="8" t="n">
        <f aca="false">SUM(C59:G59)</f>
        <v>19870</v>
      </c>
    </row>
    <row r="60" customFormat="false" ht="15" hidden="false" customHeight="false" outlineLevel="0" collapsed="false">
      <c r="A60" s="5"/>
      <c r="B60" s="6" t="s">
        <v>62</v>
      </c>
      <c r="C60" s="7" t="n">
        <f aca="false">4月!J63</f>
        <v>43264</v>
      </c>
      <c r="D60" s="7" t="n">
        <f aca="false">5月!J63</f>
        <v>31175</v>
      </c>
      <c r="E60" s="7" t="n">
        <f aca="false">6月!J63</f>
        <v>80959</v>
      </c>
      <c r="F60" s="7" t="n">
        <f aca="false">7月!J63</f>
        <v>27012</v>
      </c>
      <c r="G60" s="7" t="n">
        <f aca="false">8月!J63</f>
        <v>26339</v>
      </c>
      <c r="H60" s="8" t="n">
        <f aca="false">SUM(C60:G60)</f>
        <v>208749</v>
      </c>
    </row>
    <row r="61" customFormat="false" ht="15" hidden="false" customHeight="false" outlineLevel="0" collapsed="false">
      <c r="A61" s="5"/>
      <c r="B61" s="6" t="s">
        <v>63</v>
      </c>
      <c r="C61" s="7" t="n">
        <f aca="false">4月!J64</f>
        <v>6000</v>
      </c>
      <c r="D61" s="7" t="n">
        <f aca="false">5月!J64</f>
        <v>0</v>
      </c>
      <c r="E61" s="7" t="n">
        <f aca="false">6月!J64</f>
        <v>25000</v>
      </c>
      <c r="F61" s="7" t="n">
        <f aca="false">7月!J64</f>
        <v>58500</v>
      </c>
      <c r="G61" s="7" t="n">
        <f aca="false">8月!J64</f>
        <v>0</v>
      </c>
      <c r="H61" s="8" t="n">
        <f aca="false">SUM(C61:G61)</f>
        <v>89500</v>
      </c>
    </row>
    <row r="62" customFormat="false" ht="15" hidden="false" customHeight="false" outlineLevel="0" collapsed="false">
      <c r="A62" s="5"/>
      <c r="B62" s="6" t="s">
        <v>64</v>
      </c>
      <c r="C62" s="7" t="n">
        <f aca="false">4月!J65</f>
        <v>73958</v>
      </c>
      <c r="D62" s="7" t="n">
        <f aca="false">5月!J65</f>
        <v>69508</v>
      </c>
      <c r="E62" s="7" t="n">
        <f aca="false">6月!J65</f>
        <v>62202</v>
      </c>
      <c r="F62" s="7" t="n">
        <f aca="false">7月!J65</f>
        <v>48486</v>
      </c>
      <c r="G62" s="7" t="n">
        <f aca="false">8月!J65</f>
        <v>57819</v>
      </c>
      <c r="H62" s="8" t="n">
        <f aca="false">SUM(C62:G62)</f>
        <v>311973</v>
      </c>
    </row>
    <row r="63" customFormat="false" ht="15" hidden="false" customHeight="false" outlineLevel="0" collapsed="false">
      <c r="A63" s="5"/>
      <c r="B63" s="6" t="s">
        <v>38</v>
      </c>
      <c r="C63" s="7" t="n">
        <f aca="false">4月!J66</f>
        <v>23538</v>
      </c>
      <c r="D63" s="7" t="n">
        <f aca="false">5月!J66</f>
        <v>23538</v>
      </c>
      <c r="E63" s="7" t="n">
        <f aca="false">6月!J66</f>
        <v>34463</v>
      </c>
      <c r="F63" s="7" t="n">
        <f aca="false">7月!J66</f>
        <v>23538</v>
      </c>
      <c r="G63" s="7" t="n">
        <f aca="false">8月!J66</f>
        <v>61698</v>
      </c>
      <c r="H63" s="8" t="n">
        <f aca="false">SUM(C63:G63)</f>
        <v>166775</v>
      </c>
    </row>
    <row r="64" customFormat="false" ht="15" hidden="false" customHeight="false" outlineLevel="0" collapsed="false">
      <c r="A64" s="5"/>
      <c r="B64" s="6" t="s">
        <v>65</v>
      </c>
      <c r="C64" s="7" t="n">
        <f aca="false">4月!J67</f>
        <v>5000</v>
      </c>
      <c r="D64" s="7" t="n">
        <f aca="false">5月!J67</f>
        <v>29500</v>
      </c>
      <c r="E64" s="7" t="n">
        <f aca="false">6月!J67</f>
        <v>7500</v>
      </c>
      <c r="F64" s="7" t="n">
        <f aca="false">7月!J67</f>
        <v>55000</v>
      </c>
      <c r="G64" s="7" t="n">
        <f aca="false">8月!J67</f>
        <v>45000</v>
      </c>
      <c r="H64" s="8" t="n">
        <f aca="false">SUM(C64:G64)</f>
        <v>142000</v>
      </c>
    </row>
    <row r="65" customFormat="false" ht="15" hidden="false" customHeight="false" outlineLevel="0" collapsed="false">
      <c r="A65" s="5"/>
      <c r="B65" s="6" t="s">
        <v>66</v>
      </c>
      <c r="C65" s="7" t="n">
        <f aca="false">4月!J68</f>
        <v>4694</v>
      </c>
      <c r="D65" s="7" t="n">
        <f aca="false">5月!J68</f>
        <v>5027</v>
      </c>
      <c r="E65" s="7" t="n">
        <f aca="false">6月!J68</f>
        <v>6365</v>
      </c>
      <c r="F65" s="7" t="n">
        <f aca="false">7月!J68</f>
        <v>6545</v>
      </c>
      <c r="G65" s="7" t="n">
        <f aca="false">8月!J68</f>
        <v>2497</v>
      </c>
      <c r="H65" s="8" t="n">
        <f aca="false">SUM(C65:G65)</f>
        <v>25128</v>
      </c>
    </row>
    <row r="66" customFormat="false" ht="15" hidden="false" customHeight="false" outlineLevel="0" collapsed="false">
      <c r="A66" s="5"/>
      <c r="B66" s="6" t="s">
        <v>67</v>
      </c>
      <c r="C66" s="7" t="n">
        <f aca="false">4月!J69</f>
        <v>8139</v>
      </c>
      <c r="D66" s="7" t="n">
        <f aca="false">5月!J69</f>
        <v>6246</v>
      </c>
      <c r="E66" s="7" t="n">
        <f aca="false">6月!J69</f>
        <v>6072</v>
      </c>
      <c r="F66" s="7" t="n">
        <f aca="false">7月!J69</f>
        <v>9714</v>
      </c>
      <c r="G66" s="7" t="n">
        <f aca="false">8月!J69</f>
        <v>6376</v>
      </c>
      <c r="H66" s="8" t="n">
        <f aca="false">SUM(C66:G66)</f>
        <v>36547</v>
      </c>
    </row>
    <row r="67" customFormat="false" ht="15" hidden="false" customHeight="false" outlineLevel="0" collapsed="false">
      <c r="A67" s="5"/>
      <c r="B67" s="6" t="s">
        <v>45</v>
      </c>
      <c r="C67" s="7" t="n">
        <f aca="false">4月!J70</f>
        <v>0</v>
      </c>
      <c r="D67" s="7" t="n">
        <f aca="false">5月!J70</f>
        <v>0</v>
      </c>
      <c r="E67" s="7" t="n">
        <f aca="false">6月!J70</f>
        <v>0</v>
      </c>
      <c r="F67" s="7" t="n">
        <f aca="false">7月!J70</f>
        <v>0</v>
      </c>
      <c r="G67" s="7" t="n">
        <f aca="false">8月!J70</f>
        <v>0</v>
      </c>
      <c r="H67" s="8" t="n">
        <f aca="false">SUM(C67:G67)</f>
        <v>0</v>
      </c>
    </row>
    <row r="68" customFormat="false" ht="15" hidden="false" customHeight="false" outlineLevel="0" collapsed="false">
      <c r="A68" s="5"/>
      <c r="B68" s="6" t="s">
        <v>68</v>
      </c>
      <c r="C68" s="7" t="n">
        <f aca="false">4月!J71</f>
        <v>0</v>
      </c>
      <c r="D68" s="7" t="n">
        <f aca="false">5月!J71</f>
        <v>0</v>
      </c>
      <c r="E68" s="7" t="n">
        <f aca="false">6月!J71</f>
        <v>0</v>
      </c>
      <c r="F68" s="7" t="n">
        <f aca="false">7月!J71</f>
        <v>0</v>
      </c>
      <c r="G68" s="7" t="n">
        <f aca="false">8月!J71</f>
        <v>0</v>
      </c>
      <c r="H68" s="8" t="n">
        <f aca="false">SUM(C68:G68)</f>
        <v>0</v>
      </c>
    </row>
    <row r="69" customFormat="false" ht="15" hidden="false" customHeight="false" outlineLevel="0" collapsed="false">
      <c r="A69" s="5"/>
      <c r="B69" s="6" t="s">
        <v>69</v>
      </c>
      <c r="C69" s="7" t="n">
        <f aca="false">4月!J72</f>
        <v>70000</v>
      </c>
      <c r="D69" s="7" t="n">
        <f aca="false">5月!J72</f>
        <v>70000</v>
      </c>
      <c r="E69" s="7" t="n">
        <f aca="false">6月!J72</f>
        <v>70000</v>
      </c>
      <c r="F69" s="7" t="n">
        <f aca="false">7月!J72</f>
        <v>357500</v>
      </c>
      <c r="G69" s="7" t="n">
        <f aca="false">8月!J72</f>
        <v>120000</v>
      </c>
      <c r="H69" s="8" t="n">
        <f aca="false">SUM(C69:G69)</f>
        <v>687500</v>
      </c>
    </row>
    <row r="70" customFormat="false" ht="15" hidden="false" customHeight="false" outlineLevel="0" collapsed="false">
      <c r="A70" s="5"/>
      <c r="B70" s="6" t="s">
        <v>70</v>
      </c>
      <c r="C70" s="7" t="n">
        <f aca="false">4月!J73</f>
        <v>0</v>
      </c>
      <c r="D70" s="7" t="n">
        <f aca="false">5月!J73</f>
        <v>0</v>
      </c>
      <c r="E70" s="7" t="n">
        <f aca="false">6月!J73</f>
        <v>0</v>
      </c>
      <c r="F70" s="7" t="n">
        <f aca="false">7月!J73</f>
        <v>2550</v>
      </c>
      <c r="G70" s="7" t="n">
        <f aca="false">8月!J73</f>
        <v>0</v>
      </c>
      <c r="H70" s="8" t="n">
        <f aca="false">SUM(C70:G70)</f>
        <v>2550</v>
      </c>
    </row>
    <row r="71" customFormat="false" ht="15" hidden="false" customHeight="false" outlineLevel="0" collapsed="false">
      <c r="A71" s="5"/>
      <c r="B71" s="6" t="s">
        <v>40</v>
      </c>
      <c r="C71" s="7" t="n">
        <f aca="false">4月!J74</f>
        <v>0</v>
      </c>
      <c r="D71" s="7" t="n">
        <f aca="false">5月!J74</f>
        <v>0</v>
      </c>
      <c r="E71" s="7" t="n">
        <f aca="false">6月!J74</f>
        <v>0</v>
      </c>
      <c r="F71" s="7" t="n">
        <f aca="false">7月!J74</f>
        <v>0</v>
      </c>
      <c r="G71" s="7" t="n">
        <f aca="false">8月!J74</f>
        <v>0</v>
      </c>
      <c r="H71" s="8" t="n">
        <f aca="false">SUM(C71:G71)</f>
        <v>0</v>
      </c>
    </row>
    <row r="72" customFormat="false" ht="15" hidden="false" customHeight="false" outlineLevel="0" collapsed="false">
      <c r="A72" s="5"/>
      <c r="B72" s="6" t="s">
        <v>48</v>
      </c>
      <c r="C72" s="7" t="n">
        <f aca="false">4月!J75</f>
        <v>105223</v>
      </c>
      <c r="D72" s="7" t="n">
        <f aca="false">5月!J75</f>
        <v>103081</v>
      </c>
      <c r="E72" s="7" t="n">
        <f aca="false">6月!J75</f>
        <v>138150</v>
      </c>
      <c r="F72" s="7" t="n">
        <f aca="false">7月!J75</f>
        <v>111631</v>
      </c>
      <c r="G72" s="7" t="n">
        <f aca="false">8月!J75</f>
        <v>111125</v>
      </c>
      <c r="H72" s="8" t="n">
        <f aca="false">SUM(C72:G72)</f>
        <v>569210</v>
      </c>
    </row>
    <row r="73" customFormat="false" ht="15" hidden="false" customHeight="false" outlineLevel="0" collapsed="false">
      <c r="A73" s="5"/>
      <c r="B73" s="6" t="s">
        <v>71</v>
      </c>
      <c r="C73" s="7" t="n">
        <f aca="false">4月!J76</f>
        <v>115500</v>
      </c>
      <c r="D73" s="7" t="n">
        <f aca="false">5月!J76</f>
        <v>32500</v>
      </c>
      <c r="E73" s="7" t="n">
        <f aca="false">6月!J76</f>
        <v>198500</v>
      </c>
      <c r="F73" s="7" t="n">
        <f aca="false">7月!J76</f>
        <v>115500</v>
      </c>
      <c r="G73" s="7" t="n">
        <f aca="false">8月!J76</f>
        <v>83000</v>
      </c>
      <c r="H73" s="8" t="n">
        <f aca="false">SUM(C73:G73)</f>
        <v>545000</v>
      </c>
    </row>
    <row r="74" customFormat="false" ht="15" hidden="false" customHeight="false" outlineLevel="0" collapsed="false">
      <c r="A74" s="5" t="s">
        <v>27</v>
      </c>
      <c r="B74" s="9" t="s">
        <v>72</v>
      </c>
      <c r="C74" s="10" t="n">
        <f aca="false">4月!J78</f>
        <v>3912990</v>
      </c>
      <c r="D74" s="10" t="n">
        <f aca="false">5月!J78</f>
        <v>3664450</v>
      </c>
      <c r="E74" s="10" t="n">
        <f aca="false">6月!J78</f>
        <v>5058175</v>
      </c>
      <c r="F74" s="10" t="n">
        <f aca="false">7月!J78</f>
        <v>4595939</v>
      </c>
      <c r="G74" s="10" t="n">
        <f aca="false">8月!J78</f>
        <v>3495634</v>
      </c>
      <c r="H74" s="11" t="n">
        <f aca="false">SUM(C74:G74)</f>
        <v>20727188</v>
      </c>
    </row>
    <row r="75" customFormat="false" ht="15" hidden="false" customHeight="false" outlineLevel="0" collapsed="false">
      <c r="A75" s="5"/>
      <c r="B75" s="9" t="s">
        <v>73</v>
      </c>
      <c r="C75" s="10" t="n">
        <f aca="false">4月!J79</f>
        <v>-6151100</v>
      </c>
      <c r="D75" s="10" t="n">
        <f aca="false">5月!J79</f>
        <v>-5484635</v>
      </c>
      <c r="E75" s="10" t="n">
        <f aca="false">6月!J79</f>
        <v>-8543926</v>
      </c>
      <c r="F75" s="10" t="n">
        <f aca="false">7月!J79</f>
        <v>-5731950</v>
      </c>
      <c r="G75" s="10" t="n">
        <f aca="false">8月!J79</f>
        <v>-4815405</v>
      </c>
      <c r="H75" s="11" t="n">
        <f aca="false">SUM(C75:G75)</f>
        <v>-30727016</v>
      </c>
    </row>
    <row r="76" customFormat="false" ht="15" hidden="false" customHeight="false" outlineLevel="0" collapsed="false">
      <c r="A76" s="5"/>
      <c r="B76" s="6" t="s">
        <v>74</v>
      </c>
      <c r="C76" s="7" t="n">
        <f aca="false">4月!J80</f>
        <v>0</v>
      </c>
      <c r="D76" s="7" t="n">
        <f aca="false">5月!J80</f>
        <v>0</v>
      </c>
      <c r="E76" s="7" t="n">
        <f aca="false">6月!J80</f>
        <v>0</v>
      </c>
      <c r="F76" s="7" t="n">
        <f aca="false">7月!J80</f>
        <v>0</v>
      </c>
      <c r="G76" s="7" t="n">
        <f aca="false">8月!J80</f>
        <v>3778</v>
      </c>
      <c r="H76" s="8" t="n">
        <f aca="false">SUM(C76:G76)</f>
        <v>3778</v>
      </c>
    </row>
    <row r="77" customFormat="false" ht="15" hidden="false" customHeight="false" outlineLevel="0" collapsed="false">
      <c r="A77" s="5"/>
      <c r="B77" s="6" t="s">
        <v>75</v>
      </c>
      <c r="C77" s="7" t="n">
        <f aca="false">4月!J81</f>
        <v>0</v>
      </c>
      <c r="D77" s="7" t="n">
        <f aca="false">5月!J81</f>
        <v>0</v>
      </c>
      <c r="E77" s="7" t="n">
        <f aca="false">6月!J81</f>
        <v>6823</v>
      </c>
      <c r="F77" s="7" t="n">
        <f aca="false">7月!J81</f>
        <v>0</v>
      </c>
      <c r="G77" s="7" t="n">
        <f aca="false">8月!J81</f>
        <v>8399</v>
      </c>
      <c r="H77" s="8" t="n">
        <f aca="false">SUM(C77:G77)</f>
        <v>15222</v>
      </c>
    </row>
    <row r="78" customFormat="false" ht="15" hidden="false" customHeight="false" outlineLevel="0" collapsed="false">
      <c r="A78" s="5"/>
      <c r="B78" s="6" t="s">
        <v>76</v>
      </c>
      <c r="C78" s="7" t="n">
        <f aca="false">4月!J82</f>
        <v>26657</v>
      </c>
      <c r="D78" s="7" t="n">
        <f aca="false">5月!J82</f>
        <v>22898</v>
      </c>
      <c r="E78" s="7" t="n">
        <f aca="false">6月!J82</f>
        <v>19402</v>
      </c>
      <c r="F78" s="7" t="n">
        <f aca="false">7月!J82</f>
        <v>39859</v>
      </c>
      <c r="G78" s="7" t="n">
        <f aca="false">8月!J82</f>
        <v>27489</v>
      </c>
      <c r="H78" s="8" t="n">
        <f aca="false">SUM(C78:G78)</f>
        <v>136305</v>
      </c>
    </row>
    <row r="79" customFormat="false" ht="15" hidden="false" customHeight="false" outlineLevel="0" collapsed="false">
      <c r="A79" s="5"/>
      <c r="B79" s="6" t="s">
        <v>77</v>
      </c>
      <c r="C79" s="7" t="n">
        <f aca="false">4月!J83</f>
        <v>2156</v>
      </c>
      <c r="D79" s="7" t="n">
        <f aca="false">5月!J83</f>
        <v>1843</v>
      </c>
      <c r="E79" s="7" t="n">
        <f aca="false">6月!J83</f>
        <v>1356</v>
      </c>
      <c r="F79" s="7" t="n">
        <f aca="false">7月!J83</f>
        <v>9972</v>
      </c>
      <c r="G79" s="7" t="n">
        <f aca="false">8月!J83</f>
        <v>4376</v>
      </c>
      <c r="H79" s="8" t="n">
        <f aca="false">SUM(C79:G79)</f>
        <v>19703</v>
      </c>
    </row>
    <row r="80" customFormat="false" ht="15" hidden="false" customHeight="false" outlineLevel="0" collapsed="false">
      <c r="A80" s="5"/>
      <c r="B80" s="9" t="s">
        <v>78</v>
      </c>
      <c r="C80" s="10" t="n">
        <f aca="false">4月!J85</f>
        <v>28813</v>
      </c>
      <c r="D80" s="10" t="n">
        <f aca="false">5月!J85</f>
        <v>24740</v>
      </c>
      <c r="E80" s="10" t="n">
        <f aca="false">6月!J85</f>
        <v>27581</v>
      </c>
      <c r="F80" s="10" t="n">
        <f aca="false">7月!J85</f>
        <v>49830</v>
      </c>
      <c r="G80" s="10" t="n">
        <f aca="false">8月!J85</f>
        <v>44043</v>
      </c>
      <c r="H80" s="11" t="n">
        <f aca="false">SUM(C80:G80)</f>
        <v>175007</v>
      </c>
    </row>
    <row r="81" customFormat="false" ht="15" hidden="false" customHeight="false" outlineLevel="0" collapsed="false">
      <c r="A81" s="5"/>
      <c r="B81" s="6" t="s">
        <v>79</v>
      </c>
      <c r="C81" s="7" t="n">
        <f aca="false">4月!J86</f>
        <v>469983</v>
      </c>
      <c r="D81" s="7" t="n">
        <f aca="false">5月!J86</f>
        <v>324794</v>
      </c>
      <c r="E81" s="7" t="n">
        <f aca="false">6月!J86</f>
        <v>496627</v>
      </c>
      <c r="F81" s="7" t="n">
        <f aca="false">7月!J86</f>
        <v>760465</v>
      </c>
      <c r="G81" s="7" t="n">
        <f aca="false">8月!J86</f>
        <v>535893</v>
      </c>
      <c r="H81" s="8" t="n">
        <f aca="false">SUM(C81:G81)</f>
        <v>2587762</v>
      </c>
    </row>
    <row r="82" customFormat="false" ht="15" hidden="false" customHeight="false" outlineLevel="0" collapsed="false">
      <c r="A82" s="5"/>
      <c r="B82" s="6" t="s">
        <v>80</v>
      </c>
      <c r="C82" s="7" t="n">
        <f aca="false">4月!J87</f>
        <v>4871</v>
      </c>
      <c r="D82" s="7" t="n">
        <f aca="false">5月!J87</f>
        <v>9292</v>
      </c>
      <c r="E82" s="7" t="n">
        <f aca="false">6月!J87</f>
        <v>3457</v>
      </c>
      <c r="F82" s="7" t="n">
        <f aca="false">7月!J87</f>
        <v>9674</v>
      </c>
      <c r="G82" s="7" t="n">
        <f aca="false">8月!J87</f>
        <v>6363</v>
      </c>
      <c r="H82" s="8" t="n">
        <f aca="false">SUM(C82:G82)</f>
        <v>33657</v>
      </c>
    </row>
    <row r="83" customFormat="false" ht="15" hidden="false" customHeight="false" outlineLevel="0" collapsed="false">
      <c r="A83" s="5"/>
      <c r="B83" s="6" t="s">
        <v>62</v>
      </c>
      <c r="C83" s="7" t="n">
        <f aca="false">4月!J88</f>
        <v>0</v>
      </c>
      <c r="D83" s="7" t="n">
        <f aca="false">5月!J88</f>
        <v>0</v>
      </c>
      <c r="E83" s="7" t="n">
        <f aca="false">6月!J88</f>
        <v>0</v>
      </c>
      <c r="F83" s="7" t="n">
        <f aca="false">7月!J88</f>
        <v>0</v>
      </c>
      <c r="G83" s="7" t="n">
        <f aca="false">8月!J88</f>
        <v>0</v>
      </c>
      <c r="H83" s="8" t="n">
        <f aca="false">SUM(C83:G83)</f>
        <v>0</v>
      </c>
    </row>
    <row r="84" customFormat="false" ht="15" hidden="false" customHeight="false" outlineLevel="0" collapsed="false">
      <c r="A84" s="5"/>
      <c r="B84" s="6" t="s">
        <v>81</v>
      </c>
      <c r="C84" s="7" t="n">
        <f aca="false">4月!J89</f>
        <v>0</v>
      </c>
      <c r="D84" s="7" t="n">
        <f aca="false">5月!J89</f>
        <v>0</v>
      </c>
      <c r="E84" s="7" t="n">
        <f aca="false">6月!J89</f>
        <v>0</v>
      </c>
      <c r="F84" s="7" t="n">
        <f aca="false">7月!J89</f>
        <v>0</v>
      </c>
      <c r="G84" s="7" t="n">
        <f aca="false">8月!J89</f>
        <v>0</v>
      </c>
      <c r="H84" s="8" t="n">
        <f aca="false">SUM(C84:G84)</f>
        <v>0</v>
      </c>
    </row>
    <row r="85" customFormat="false" ht="15" hidden="false" customHeight="false" outlineLevel="0" collapsed="false">
      <c r="A85" s="5" t="s">
        <v>27</v>
      </c>
      <c r="B85" s="9" t="s">
        <v>82</v>
      </c>
      <c r="C85" s="10" t="n">
        <f aca="false">4月!J90</f>
        <v>474854</v>
      </c>
      <c r="D85" s="10" t="n">
        <f aca="false">5月!J90</f>
        <v>334086</v>
      </c>
      <c r="E85" s="10" t="n">
        <f aca="false">6月!J90</f>
        <v>500084</v>
      </c>
      <c r="F85" s="10" t="n">
        <f aca="false">7月!J90</f>
        <v>770138</v>
      </c>
      <c r="G85" s="10" t="n">
        <f aca="false">8月!J90</f>
        <v>542257</v>
      </c>
      <c r="H85" s="11" t="n">
        <f aca="false">SUM(C85:G85)</f>
        <v>2621419</v>
      </c>
    </row>
    <row r="86" customFormat="false" ht="15" hidden="false" customHeight="false" outlineLevel="0" collapsed="false">
      <c r="A86" s="5"/>
      <c r="B86" s="9" t="s">
        <v>83</v>
      </c>
      <c r="C86" s="10" t="n">
        <f aca="false">4月!J91</f>
        <v>-6597141</v>
      </c>
      <c r="D86" s="10" t="n">
        <f aca="false">5月!J91</f>
        <v>-5793981</v>
      </c>
      <c r="E86" s="10" t="n">
        <f aca="false">6月!J91</f>
        <v>-9016429</v>
      </c>
      <c r="F86" s="10" t="n">
        <f aca="false">7月!J91</f>
        <v>-6452258</v>
      </c>
      <c r="G86" s="10" t="n">
        <f aca="false">8月!J91</f>
        <v>-5313619</v>
      </c>
      <c r="H86" s="11" t="n">
        <f aca="false">SUM(C86:G86)</f>
        <v>-33173428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19.4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3"/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customFormat="false" ht="15" hidden="false" customHeight="false" outlineLevel="0" collapsed="false">
      <c r="A5" s="5"/>
      <c r="B5" s="6" t="s">
        <v>9</v>
      </c>
      <c r="C5" s="7" t="n">
        <f aca="false">4月!N5</f>
        <v>50867007</v>
      </c>
      <c r="D5" s="7" t="n">
        <f aca="false">5月!N5</f>
        <v>40760554</v>
      </c>
      <c r="E5" s="7" t="n">
        <f aca="false">6月!N5</f>
        <v>62554074</v>
      </c>
      <c r="F5" s="7" t="n">
        <f aca="false">7月!N5</f>
        <v>50746865</v>
      </c>
      <c r="G5" s="7" t="n">
        <f aca="false">8月!N5</f>
        <v>50182441</v>
      </c>
      <c r="H5" s="8" t="n">
        <f aca="false">SUM(C5:G5)</f>
        <v>255110941</v>
      </c>
    </row>
    <row r="6" customFormat="false" ht="15" hidden="false" customHeight="false" outlineLevel="0" collapsed="false">
      <c r="A6" s="5"/>
      <c r="B6" s="6" t="s">
        <v>10</v>
      </c>
      <c r="C6" s="7" t="n">
        <f aca="false">4月!N6</f>
        <v>694470</v>
      </c>
      <c r="D6" s="7" t="n">
        <f aca="false">5月!N6</f>
        <v>454230</v>
      </c>
      <c r="E6" s="7" t="n">
        <f aca="false">6月!N6</f>
        <v>433780</v>
      </c>
      <c r="F6" s="7" t="n">
        <f aca="false">7月!N6</f>
        <v>679840</v>
      </c>
      <c r="G6" s="7" t="n">
        <f aca="false">8月!N6</f>
        <v>568310</v>
      </c>
      <c r="H6" s="8" t="n">
        <f aca="false">SUM(C6:G6)</f>
        <v>2830630</v>
      </c>
    </row>
    <row r="7" customFormat="false" ht="15" hidden="false" customHeight="false" outlineLevel="0" collapsed="false">
      <c r="A7" s="5"/>
      <c r="B7" s="6" t="s">
        <v>11</v>
      </c>
      <c r="C7" s="7" t="n">
        <f aca="false">4月!N7</f>
        <v>378561</v>
      </c>
      <c r="D7" s="7" t="n">
        <f aca="false">5月!N7</f>
        <v>223648</v>
      </c>
      <c r="E7" s="7" t="n">
        <f aca="false">6月!N7</f>
        <v>37122</v>
      </c>
      <c r="F7" s="7" t="n">
        <f aca="false">7月!N7</f>
        <v>32130</v>
      </c>
      <c r="G7" s="7" t="n">
        <f aca="false">8月!N7</f>
        <v>430449</v>
      </c>
      <c r="H7" s="8" t="n">
        <f aca="false">SUM(C7:G7)</f>
        <v>1101910</v>
      </c>
    </row>
    <row r="8" customFormat="false" ht="15" hidden="false" customHeight="false" outlineLevel="0" collapsed="false">
      <c r="A8" s="5"/>
      <c r="B8" s="9" t="s">
        <v>12</v>
      </c>
      <c r="C8" s="10" t="n">
        <f aca="false">4月!N8</f>
        <v>51182916</v>
      </c>
      <c r="D8" s="10" t="n">
        <f aca="false">5月!N8</f>
        <v>40991136</v>
      </c>
      <c r="E8" s="10" t="n">
        <f aca="false">6月!N8</f>
        <v>62950732</v>
      </c>
      <c r="F8" s="10" t="n">
        <f aca="false">7月!N8</f>
        <v>51394575</v>
      </c>
      <c r="G8" s="10" t="n">
        <f aca="false">8月!N8</f>
        <v>50320302</v>
      </c>
      <c r="H8" s="11" t="n">
        <f aca="false">SUM(C8:G8)</f>
        <v>256839661</v>
      </c>
    </row>
    <row r="9" customFormat="false" ht="15" hidden="false" customHeight="false" outlineLevel="0" collapsed="false">
      <c r="A9" s="5"/>
      <c r="B9" s="6" t="s">
        <v>13</v>
      </c>
      <c r="C9" s="7" t="n">
        <f aca="false">4月!N9</f>
        <v>66</v>
      </c>
      <c r="D9" s="7" t="n">
        <f aca="false">5月!N9</f>
        <v>67</v>
      </c>
      <c r="E9" s="7" t="n">
        <f aca="false">6月!N9</f>
        <v>66</v>
      </c>
      <c r="F9" s="7" t="n">
        <f aca="false">7月!N9</f>
        <v>66</v>
      </c>
      <c r="G9" s="7" t="n">
        <f aca="false">8月!N9</f>
        <v>65</v>
      </c>
      <c r="H9" s="8" t="n">
        <f aca="false">AVERAGE(C9:G9)</f>
        <v>66</v>
      </c>
    </row>
    <row r="10" customFormat="false" ht="15" hidden="false" customHeight="false" outlineLevel="0" collapsed="false">
      <c r="A10" s="5"/>
      <c r="B10" s="6" t="s">
        <v>14</v>
      </c>
      <c r="C10" s="7" t="n">
        <f aca="false">4月!N10</f>
        <v>175</v>
      </c>
      <c r="D10" s="7" t="n">
        <f aca="false">5月!N10</f>
        <v>138</v>
      </c>
      <c r="E10" s="7" t="n">
        <f aca="false">6月!N10</f>
        <v>162</v>
      </c>
      <c r="F10" s="7" t="n">
        <f aca="false">7月!N10</f>
        <v>142</v>
      </c>
      <c r="G10" s="7" t="n">
        <f aca="false">8月!N10</f>
        <v>170</v>
      </c>
      <c r="H10" s="8" t="n">
        <f aca="false">AVERAGE(C10:G10)</f>
        <v>157.4</v>
      </c>
    </row>
    <row r="11" customFormat="false" ht="15" hidden="false" customHeight="false" outlineLevel="0" collapsed="false">
      <c r="A11" s="5"/>
      <c r="B11" s="6" t="s">
        <v>15</v>
      </c>
      <c r="C11" s="7" t="n">
        <f aca="false">4月!N11</f>
        <v>725317</v>
      </c>
      <c r="D11" s="7" t="n">
        <f aca="false">5月!N11</f>
        <v>571265</v>
      </c>
      <c r="E11" s="7" t="n">
        <f aca="false">6月!N11</f>
        <v>779773</v>
      </c>
      <c r="F11" s="7" t="n">
        <f aca="false">7月!N11</f>
        <v>649282</v>
      </c>
      <c r="G11" s="7" t="n">
        <f aca="false">8月!N11</f>
        <v>728646</v>
      </c>
      <c r="H11" s="8" t="n">
        <f aca="false">AVERAGE(C11:G11)</f>
        <v>690856.6</v>
      </c>
    </row>
    <row r="12" customFormat="false" ht="15" hidden="false" customHeight="false" outlineLevel="0" collapsed="false">
      <c r="A12" s="5"/>
      <c r="B12" s="6" t="s">
        <v>16</v>
      </c>
      <c r="C12" s="7" t="n">
        <f aca="false">4月!N12</f>
        <v>4145</v>
      </c>
      <c r="D12" s="7" t="n">
        <f aca="false">5月!N12</f>
        <v>4140</v>
      </c>
      <c r="E12" s="7" t="n">
        <f aca="false">6月!N12</f>
        <v>4813</v>
      </c>
      <c r="F12" s="7" t="n">
        <f aca="false">7月!N12</f>
        <v>4572</v>
      </c>
      <c r="G12" s="7" t="n">
        <f aca="false">8月!N12</f>
        <v>4286</v>
      </c>
      <c r="H12" s="8" t="n">
        <f aca="false">AVERAGE(C12:G12)</f>
        <v>4391.2</v>
      </c>
    </row>
    <row r="13" customFormat="false" ht="15" hidden="false" customHeight="false" outlineLevel="0" collapsed="false">
      <c r="A13" s="5" t="s">
        <v>17</v>
      </c>
      <c r="B13" s="6" t="s">
        <v>88</v>
      </c>
      <c r="C13" s="7" t="n">
        <f aca="false">4月!O13</f>
        <v>4690675</v>
      </c>
      <c r="D13" s="7" t="n">
        <f aca="false">5月!O13</f>
        <v>1632217</v>
      </c>
      <c r="E13" s="7" t="n">
        <f aca="false">6月!O13</f>
        <v>4690101</v>
      </c>
      <c r="F13" s="7" t="n">
        <f aca="false">7月!O13</f>
        <v>5120026</v>
      </c>
      <c r="G13" s="7" t="n">
        <f aca="false">8月!O13</f>
        <v>3228680</v>
      </c>
      <c r="H13" s="8" t="n">
        <f aca="false">SUM(C13:G13)</f>
        <v>19361699</v>
      </c>
    </row>
    <row r="14" customFormat="false" ht="15" hidden="false" customHeight="false" outlineLevel="0" collapsed="false">
      <c r="A14" s="5" t="s">
        <v>17</v>
      </c>
      <c r="B14" s="9" t="s">
        <v>18</v>
      </c>
      <c r="C14" s="10" t="n">
        <f aca="false">4月!N14</f>
        <v>4690675</v>
      </c>
      <c r="D14" s="10" t="n">
        <f aca="false">5月!N14</f>
        <v>1632217</v>
      </c>
      <c r="E14" s="10" t="n">
        <f aca="false">6月!N14</f>
        <v>4690101</v>
      </c>
      <c r="F14" s="10" t="n">
        <f aca="false">7月!N14</f>
        <v>5120026</v>
      </c>
      <c r="G14" s="10" t="n">
        <f aca="false">8月!N14</f>
        <v>3228680</v>
      </c>
      <c r="H14" s="11" t="n">
        <f aca="false">SUM(C14:G14)</f>
        <v>19361699</v>
      </c>
    </row>
    <row r="15" customFormat="false" ht="15" hidden="false" customHeight="false" outlineLevel="0" collapsed="false">
      <c r="A15" s="5"/>
      <c r="B15" s="6" t="s">
        <v>19</v>
      </c>
      <c r="C15" s="7" t="n">
        <f aca="false">4月!N15</f>
        <v>4334697</v>
      </c>
      <c r="D15" s="7" t="n">
        <f aca="false">5月!N15</f>
        <v>493368</v>
      </c>
      <c r="E15" s="7" t="n">
        <f aca="false">6月!N15</f>
        <v>2849971</v>
      </c>
      <c r="F15" s="7" t="n">
        <f aca="false">7月!N15</f>
        <v>1893635</v>
      </c>
      <c r="G15" s="7" t="n">
        <f aca="false">8月!N15</f>
        <v>2862539</v>
      </c>
      <c r="H15" s="8" t="n">
        <f aca="false">SUM(C15:G15)</f>
        <v>12434210</v>
      </c>
    </row>
    <row r="16" customFormat="false" ht="15" hidden="false" customHeight="false" outlineLevel="0" collapsed="false">
      <c r="A16" s="5"/>
      <c r="B16" s="6" t="s">
        <v>20</v>
      </c>
      <c r="C16" s="7" t="n">
        <f aca="false">4月!N16</f>
        <v>355978</v>
      </c>
      <c r="D16" s="7" t="n">
        <f aca="false">5月!N16</f>
        <v>1138849</v>
      </c>
      <c r="E16" s="7" t="n">
        <f aca="false">6月!N16</f>
        <v>1840130</v>
      </c>
      <c r="F16" s="7" t="n">
        <f aca="false">7月!N16</f>
        <v>3226391</v>
      </c>
      <c r="G16" s="7" t="n">
        <f aca="false">8月!N16</f>
        <v>366141</v>
      </c>
      <c r="H16" s="8" t="n">
        <f aca="false">SUM(C16:G16)</f>
        <v>6927489</v>
      </c>
    </row>
    <row r="17" customFormat="false" ht="15" hidden="false" customHeight="false" outlineLevel="0" collapsed="false">
      <c r="A17" s="5"/>
      <c r="B17" s="6" t="s">
        <v>21</v>
      </c>
      <c r="C17" s="7" t="n">
        <f aca="false">4月!N17</f>
        <v>17570047</v>
      </c>
      <c r="D17" s="7" t="n">
        <f aca="false">5月!N17</f>
        <v>15795777</v>
      </c>
      <c r="E17" s="7" t="n">
        <f aca="false">6月!N17</f>
        <v>16340981</v>
      </c>
      <c r="F17" s="7" t="n">
        <f aca="false">7月!N17</f>
        <v>19777926</v>
      </c>
      <c r="G17" s="7" t="n">
        <f aca="false">8月!N17</f>
        <v>16077527</v>
      </c>
      <c r="H17" s="8" t="n">
        <f aca="false">SUM(C17:G17)</f>
        <v>85562258</v>
      </c>
    </row>
    <row r="18" customFormat="false" ht="15" hidden="false" customHeight="false" outlineLevel="0" collapsed="false">
      <c r="A18" s="5"/>
      <c r="B18" s="6" t="s">
        <v>22</v>
      </c>
      <c r="C18" s="7" t="n">
        <f aca="false">4月!N18</f>
        <v>1170000</v>
      </c>
      <c r="D18" s="7" t="n">
        <f aca="false">5月!N18</f>
        <v>0</v>
      </c>
      <c r="E18" s="7" t="n">
        <f aca="false">6月!N18</f>
        <v>0</v>
      </c>
      <c r="F18" s="7" t="n">
        <f aca="false">7月!N18</f>
        <v>664900</v>
      </c>
      <c r="G18" s="7" t="n">
        <f aca="false">8月!N18</f>
        <v>0</v>
      </c>
      <c r="H18" s="8" t="n">
        <f aca="false">SUM(C18:G18)</f>
        <v>1834900</v>
      </c>
    </row>
    <row r="19" customFormat="false" ht="15" hidden="false" customHeight="false" outlineLevel="0" collapsed="false">
      <c r="A19" s="5"/>
      <c r="B19" s="6" t="s">
        <v>23</v>
      </c>
      <c r="C19" s="7" t="n">
        <f aca="false">4月!N19</f>
        <v>2464746</v>
      </c>
      <c r="D19" s="7" t="n">
        <f aca="false">5月!N19</f>
        <v>0</v>
      </c>
      <c r="E19" s="7" t="n">
        <f aca="false">6月!N19</f>
        <v>5184296</v>
      </c>
      <c r="F19" s="7" t="n">
        <f aca="false">7月!N19</f>
        <v>2576707</v>
      </c>
      <c r="G19" s="7" t="n">
        <f aca="false">8月!N19</f>
        <v>3046477</v>
      </c>
      <c r="H19" s="8" t="n">
        <f aca="false">SUM(C19:G19)</f>
        <v>13272226</v>
      </c>
    </row>
    <row r="20" customFormat="false" ht="15" hidden="false" customHeight="false" outlineLevel="0" collapsed="false">
      <c r="A20" s="5"/>
      <c r="B20" s="6" t="s">
        <v>24</v>
      </c>
      <c r="C20" s="7" t="n">
        <f aca="false">4月!N20</f>
        <v>504000</v>
      </c>
      <c r="D20" s="7" t="n">
        <f aca="false">5月!N20</f>
        <v>85637</v>
      </c>
      <c r="E20" s="7" t="n">
        <f aca="false">6月!N20</f>
        <v>0</v>
      </c>
      <c r="F20" s="7" t="n">
        <f aca="false">7月!N20</f>
        <v>0</v>
      </c>
      <c r="G20" s="7" t="n">
        <f aca="false">8月!N20</f>
        <v>0</v>
      </c>
      <c r="H20" s="8" t="n">
        <f aca="false">SUM(C20:G20)</f>
        <v>589637</v>
      </c>
    </row>
    <row r="21" customFormat="false" ht="15" hidden="false" customHeight="false" outlineLevel="0" collapsed="false">
      <c r="A21" s="5"/>
      <c r="B21" s="6" t="s">
        <v>25</v>
      </c>
      <c r="C21" s="7" t="n">
        <f aca="false">4月!N21</f>
        <v>0</v>
      </c>
      <c r="D21" s="7" t="n">
        <f aca="false">5月!N21</f>
        <v>0</v>
      </c>
      <c r="E21" s="7" t="n">
        <f aca="false">6月!N21</f>
        <v>0</v>
      </c>
      <c r="F21" s="7" t="n">
        <f aca="false">7月!N21</f>
        <v>0</v>
      </c>
      <c r="G21" s="7" t="n">
        <f aca="false">8月!N21</f>
        <v>0</v>
      </c>
      <c r="H21" s="8" t="n">
        <f aca="false">SUM(C21:G21)</f>
        <v>0</v>
      </c>
    </row>
    <row r="22" customFormat="false" ht="15" hidden="false" customHeight="false" outlineLevel="0" collapsed="false">
      <c r="A22" s="5"/>
      <c r="B22" s="6" t="s">
        <v>26</v>
      </c>
      <c r="C22" s="7" t="n">
        <f aca="false">4月!N22</f>
        <v>0</v>
      </c>
      <c r="D22" s="7" t="n">
        <f aca="false">5月!N22</f>
        <v>0</v>
      </c>
      <c r="E22" s="7" t="n">
        <f aca="false">6月!N22</f>
        <v>0</v>
      </c>
      <c r="F22" s="7" t="n">
        <f aca="false">7月!N22</f>
        <v>0</v>
      </c>
      <c r="G22" s="7" t="n">
        <f aca="false">8月!N22</f>
        <v>0</v>
      </c>
      <c r="H22" s="8" t="n">
        <f aca="false">SUM(C22:G22)</f>
        <v>0</v>
      </c>
    </row>
    <row r="23" customFormat="false" ht="15" hidden="false" customHeight="false" outlineLevel="0" collapsed="false">
      <c r="A23" s="5" t="s">
        <v>27</v>
      </c>
      <c r="B23" s="9" t="s">
        <v>28</v>
      </c>
      <c r="C23" s="10" t="n">
        <f aca="false">4月!N23</f>
        <v>21708793</v>
      </c>
      <c r="D23" s="10" t="n">
        <f aca="false">5月!N23</f>
        <v>15881414</v>
      </c>
      <c r="E23" s="10" t="n">
        <f aca="false">6月!N23</f>
        <v>21525277</v>
      </c>
      <c r="F23" s="10" t="n">
        <f aca="false">7月!N23</f>
        <v>23019533</v>
      </c>
      <c r="G23" s="10" t="n">
        <f aca="false">8月!N23</f>
        <v>19124004</v>
      </c>
      <c r="H23" s="11" t="n">
        <f aca="false">SUM(C23:G23)</f>
        <v>101259021</v>
      </c>
    </row>
    <row r="24" customFormat="false" ht="15" hidden="false" customHeight="false" outlineLevel="0" collapsed="false">
      <c r="A24" s="5" t="s">
        <v>17</v>
      </c>
      <c r="B24" s="9" t="s">
        <v>29</v>
      </c>
      <c r="C24" s="10" t="n">
        <f aca="false">4月!N24</f>
        <v>9589941</v>
      </c>
      <c r="D24" s="10" t="n">
        <f aca="false">5月!N24</f>
        <v>7320408</v>
      </c>
      <c r="E24" s="10" t="n">
        <f aca="false">6月!N24</f>
        <v>14768482</v>
      </c>
      <c r="F24" s="10" t="n">
        <f aca="false">7月!N24</f>
        <v>12111052</v>
      </c>
      <c r="G24" s="10" t="n">
        <f aca="false">8月!N24</f>
        <v>12621218</v>
      </c>
      <c r="H24" s="11" t="n">
        <f aca="false">SUM(C24:G24)</f>
        <v>56411101</v>
      </c>
    </row>
    <row r="25" customFormat="false" ht="15" hidden="false" customHeight="false" outlineLevel="0" collapsed="false">
      <c r="A25" s="5"/>
      <c r="B25" s="6" t="s">
        <v>30</v>
      </c>
      <c r="C25" s="7" t="n">
        <f aca="false">4月!N25</f>
        <v>2750298</v>
      </c>
      <c r="D25" s="7" t="n">
        <f aca="false">5月!N25</f>
        <v>2652841</v>
      </c>
      <c r="E25" s="7" t="n">
        <f aca="false">6月!N25</f>
        <v>5353985</v>
      </c>
      <c r="F25" s="7" t="n">
        <f aca="false">7月!N25</f>
        <v>3321280</v>
      </c>
      <c r="G25" s="7" t="n">
        <f aca="false">8月!N25</f>
        <v>4241555</v>
      </c>
      <c r="H25" s="8" t="n">
        <f aca="false">SUM(C25:G25)</f>
        <v>18319959</v>
      </c>
    </row>
    <row r="26" customFormat="false" ht="15" hidden="false" customHeight="false" outlineLevel="0" collapsed="false">
      <c r="A26" s="5"/>
      <c r="B26" s="6" t="s">
        <v>31</v>
      </c>
      <c r="C26" s="7" t="n">
        <f aca="false">4月!N26</f>
        <v>810562</v>
      </c>
      <c r="D26" s="7" t="n">
        <f aca="false">5月!N26</f>
        <v>284159</v>
      </c>
      <c r="E26" s="7" t="n">
        <f aca="false">6月!N26</f>
        <v>1479898</v>
      </c>
      <c r="F26" s="7" t="n">
        <f aca="false">7月!N26</f>
        <v>1045873</v>
      </c>
      <c r="G26" s="7" t="n">
        <f aca="false">8月!N26</f>
        <v>1195958</v>
      </c>
      <c r="H26" s="8" t="n">
        <f aca="false">SUM(C26:G26)</f>
        <v>4816450</v>
      </c>
    </row>
    <row r="27" customFormat="false" ht="15" hidden="false" customHeight="false" outlineLevel="0" collapsed="false">
      <c r="A27" s="5"/>
      <c r="B27" s="6" t="s">
        <v>32</v>
      </c>
      <c r="C27" s="7" t="n">
        <f aca="false">4月!N27</f>
        <v>0</v>
      </c>
      <c r="D27" s="7" t="n">
        <f aca="false">5月!N27</f>
        <v>220294</v>
      </c>
      <c r="E27" s="7" t="n">
        <f aca="false">6月!N27</f>
        <v>530220</v>
      </c>
      <c r="F27" s="7" t="n">
        <f aca="false">7月!N27</f>
        <v>1306673</v>
      </c>
      <c r="G27" s="7" t="n">
        <f aca="false">8月!N27</f>
        <v>1362384</v>
      </c>
      <c r="H27" s="8" t="n">
        <f aca="false">SUM(C27:G27)</f>
        <v>3419571</v>
      </c>
    </row>
    <row r="28" customFormat="false" ht="15" hidden="false" customHeight="false" outlineLevel="0" collapsed="false">
      <c r="A28" s="5"/>
      <c r="B28" s="6" t="s">
        <v>33</v>
      </c>
      <c r="C28" s="7" t="n">
        <f aca="false">4月!N28</f>
        <v>1823880</v>
      </c>
      <c r="D28" s="7" t="n">
        <f aca="false">5月!N28</f>
        <v>1044522</v>
      </c>
      <c r="E28" s="7" t="n">
        <f aca="false">6月!N28</f>
        <v>1381910</v>
      </c>
      <c r="F28" s="7" t="n">
        <f aca="false">7月!N28</f>
        <v>2482803</v>
      </c>
      <c r="G28" s="7" t="n">
        <f aca="false">8月!N28</f>
        <v>1742850</v>
      </c>
      <c r="H28" s="8" t="n">
        <f aca="false">SUM(C28:G28)</f>
        <v>8475965</v>
      </c>
    </row>
    <row r="29" customFormat="false" ht="15" hidden="false" customHeight="false" outlineLevel="0" collapsed="false">
      <c r="A29" s="5"/>
      <c r="B29" s="6" t="s">
        <v>34</v>
      </c>
      <c r="C29" s="7" t="n">
        <f aca="false">4月!N29</f>
        <v>180700</v>
      </c>
      <c r="D29" s="7" t="n">
        <f aca="false">5月!N29</f>
        <v>128800</v>
      </c>
      <c r="E29" s="7" t="n">
        <f aca="false">6月!N29</f>
        <v>239750</v>
      </c>
      <c r="F29" s="7" t="n">
        <f aca="false">7月!N29</f>
        <v>254950</v>
      </c>
      <c r="G29" s="7" t="n">
        <f aca="false">8月!N29</f>
        <v>269400</v>
      </c>
      <c r="H29" s="8" t="n">
        <f aca="false">SUM(C29:G29)</f>
        <v>1073600</v>
      </c>
    </row>
    <row r="30" customFormat="false" ht="15" hidden="false" customHeight="false" outlineLevel="0" collapsed="false">
      <c r="A30" s="5"/>
      <c r="B30" s="6" t="s">
        <v>35</v>
      </c>
      <c r="C30" s="7" t="n">
        <f aca="false">4月!N30</f>
        <v>1560574</v>
      </c>
      <c r="D30" s="7" t="n">
        <f aca="false">5月!N30</f>
        <v>597392</v>
      </c>
      <c r="E30" s="7" t="n">
        <f aca="false">6月!N30</f>
        <v>3467837</v>
      </c>
      <c r="F30" s="7" t="n">
        <f aca="false">7月!N30</f>
        <v>1379062</v>
      </c>
      <c r="G30" s="7" t="n">
        <f aca="false">8月!N30</f>
        <v>1483281</v>
      </c>
      <c r="H30" s="8" t="n">
        <f aca="false">SUM(C30:G30)</f>
        <v>8488146</v>
      </c>
    </row>
    <row r="31" customFormat="false" ht="15" hidden="false" customHeight="false" outlineLevel="0" collapsed="false">
      <c r="A31" s="5"/>
      <c r="B31" s="6" t="s">
        <v>36</v>
      </c>
      <c r="C31" s="7" t="n">
        <f aca="false">4月!N31</f>
        <v>2463927</v>
      </c>
      <c r="D31" s="7" t="n">
        <f aca="false">5月!N31</f>
        <v>2392400</v>
      </c>
      <c r="E31" s="7" t="n">
        <f aca="false">6月!N31</f>
        <v>2314882</v>
      </c>
      <c r="F31" s="7" t="n">
        <f aca="false">7月!N31</f>
        <v>2320411</v>
      </c>
      <c r="G31" s="7" t="n">
        <f aca="false">8月!N31</f>
        <v>2325790</v>
      </c>
      <c r="H31" s="8" t="n">
        <f aca="false">SUM(C31:G31)</f>
        <v>11817410</v>
      </c>
    </row>
    <row r="32" customFormat="false" ht="15" hidden="false" customHeight="false" outlineLevel="0" collapsed="false">
      <c r="A32" s="5" t="s">
        <v>17</v>
      </c>
      <c r="B32" s="6" t="s">
        <v>37</v>
      </c>
      <c r="C32" s="7" t="n">
        <f aca="false">4月!N32</f>
        <v>1319702</v>
      </c>
      <c r="D32" s="7" t="n">
        <f aca="false">5月!N32</f>
        <v>1251983</v>
      </c>
      <c r="E32" s="7" t="n">
        <f aca="false">6月!N32</f>
        <v>1257521</v>
      </c>
      <c r="F32" s="7" t="n">
        <f aca="false">7月!N32</f>
        <v>1555763</v>
      </c>
      <c r="G32" s="7" t="n">
        <f aca="false">8月!N32</f>
        <v>1774171</v>
      </c>
      <c r="H32" s="8" t="n">
        <f aca="false">SUM(C32:G32)</f>
        <v>7159140</v>
      </c>
    </row>
    <row r="33" customFormat="false" ht="15" hidden="false" customHeight="false" outlineLevel="0" collapsed="false">
      <c r="A33" s="5" t="s">
        <v>27</v>
      </c>
      <c r="B33" s="6" t="s">
        <v>38</v>
      </c>
      <c r="C33" s="7" t="n">
        <f aca="false">4月!N33</f>
        <v>288946</v>
      </c>
      <c r="D33" s="7" t="n">
        <f aca="false">5月!N33</f>
        <v>221806</v>
      </c>
      <c r="E33" s="7" t="n">
        <f aca="false">6月!N33</f>
        <v>206236</v>
      </c>
      <c r="F33" s="7" t="n">
        <f aca="false">7月!N33</f>
        <v>221806</v>
      </c>
      <c r="G33" s="7" t="n">
        <f aca="false">8月!N33</f>
        <v>203964</v>
      </c>
      <c r="H33" s="8" t="n">
        <f aca="false">SUM(C33:G33)</f>
        <v>1142758</v>
      </c>
    </row>
    <row r="34" customFormat="false" ht="15" hidden="false" customHeight="false" outlineLevel="0" collapsed="false">
      <c r="A34" s="5" t="s">
        <v>17</v>
      </c>
      <c r="B34" s="6" t="s">
        <v>39</v>
      </c>
      <c r="C34" s="7" t="n">
        <f aca="false">4月!N34</f>
        <v>1486343</v>
      </c>
      <c r="D34" s="7" t="n">
        <f aca="false">5月!N34</f>
        <v>2619306</v>
      </c>
      <c r="E34" s="7" t="n">
        <f aca="false">6月!N34</f>
        <v>778980</v>
      </c>
      <c r="F34" s="7" t="n">
        <f aca="false">7月!N34</f>
        <v>960508</v>
      </c>
      <c r="G34" s="7" t="n">
        <f aca="false">8月!N34</f>
        <v>827796</v>
      </c>
      <c r="H34" s="8" t="n">
        <f aca="false">SUM(C34:G34)</f>
        <v>6672933</v>
      </c>
    </row>
    <row r="35" customFormat="false" ht="15" hidden="false" customHeight="false" outlineLevel="0" collapsed="false">
      <c r="A35" s="5" t="s">
        <v>27</v>
      </c>
      <c r="B35" s="6" t="s">
        <v>40</v>
      </c>
      <c r="C35" s="7" t="n">
        <f aca="false">4月!N35</f>
        <v>7592243</v>
      </c>
      <c r="D35" s="7" t="n">
        <f aca="false">5月!N35</f>
        <v>7592243</v>
      </c>
      <c r="E35" s="7" t="n">
        <f aca="false">6月!N35</f>
        <v>7592243</v>
      </c>
      <c r="F35" s="7" t="n">
        <f aca="false">7月!N35</f>
        <v>7592243</v>
      </c>
      <c r="G35" s="7" t="n">
        <f aca="false">8月!N35</f>
        <v>7592243</v>
      </c>
      <c r="H35" s="8" t="n">
        <f aca="false">SUM(C35:G35)</f>
        <v>37961215</v>
      </c>
    </row>
    <row r="36" customFormat="false" ht="15" hidden="false" customHeight="false" outlineLevel="0" collapsed="false">
      <c r="A36" s="5" t="s">
        <v>17</v>
      </c>
      <c r="B36" s="6" t="s">
        <v>41</v>
      </c>
      <c r="C36" s="7" t="n">
        <f aca="false">4月!N36</f>
        <v>625410</v>
      </c>
      <c r="D36" s="7" t="n">
        <f aca="false">5月!N36</f>
        <v>178790</v>
      </c>
      <c r="E36" s="7" t="n">
        <f aca="false">6月!N36</f>
        <v>632920</v>
      </c>
      <c r="F36" s="7" t="n">
        <f aca="false">7月!N36</f>
        <v>82430</v>
      </c>
      <c r="G36" s="7" t="n">
        <f aca="false">8月!N36</f>
        <v>476794</v>
      </c>
      <c r="H36" s="8" t="n">
        <f aca="false">SUM(C36:G36)</f>
        <v>1996344</v>
      </c>
    </row>
    <row r="37" customFormat="false" ht="15" hidden="false" customHeight="false" outlineLevel="0" collapsed="false">
      <c r="A37" s="5" t="s">
        <v>27</v>
      </c>
      <c r="B37" s="6" t="s">
        <v>42</v>
      </c>
      <c r="C37" s="7" t="n">
        <f aca="false">4月!N37</f>
        <v>116073</v>
      </c>
      <c r="D37" s="7" t="n">
        <f aca="false">5月!N37</f>
        <v>269869</v>
      </c>
      <c r="E37" s="7" t="n">
        <f aca="false">6月!N37</f>
        <v>192695</v>
      </c>
      <c r="F37" s="7" t="n">
        <f aca="false">7月!N37</f>
        <v>141624</v>
      </c>
      <c r="G37" s="7" t="n">
        <f aca="false">8月!N37</f>
        <v>253466</v>
      </c>
      <c r="H37" s="8" t="n">
        <f aca="false">SUM(C37:G37)</f>
        <v>973727</v>
      </c>
    </row>
    <row r="38" customFormat="false" ht="15" hidden="false" customHeight="false" outlineLevel="0" collapsed="false">
      <c r="A38" s="5" t="s">
        <v>27</v>
      </c>
      <c r="B38" s="6" t="s">
        <v>43</v>
      </c>
      <c r="C38" s="7" t="n">
        <f aca="false">4月!N38</f>
        <v>138447</v>
      </c>
      <c r="D38" s="7" t="n">
        <f aca="false">5月!N38</f>
        <v>36600</v>
      </c>
      <c r="E38" s="7" t="n">
        <f aca="false">6月!N38</f>
        <v>44220</v>
      </c>
      <c r="F38" s="7" t="n">
        <f aca="false">7月!N38</f>
        <v>144157</v>
      </c>
      <c r="G38" s="7" t="n">
        <f aca="false">8月!N38</f>
        <v>149551</v>
      </c>
      <c r="H38" s="8" t="n">
        <f aca="false">SUM(C38:G38)</f>
        <v>512975</v>
      </c>
    </row>
    <row r="39" customFormat="false" ht="15" hidden="false" customHeight="false" outlineLevel="0" collapsed="false">
      <c r="A39" s="5" t="s">
        <v>27</v>
      </c>
      <c r="B39" s="6" t="s">
        <v>44</v>
      </c>
      <c r="C39" s="7" t="n">
        <f aca="false">4月!N39</f>
        <v>0</v>
      </c>
      <c r="D39" s="7" t="n">
        <f aca="false">5月!N39</f>
        <v>175300</v>
      </c>
      <c r="E39" s="7" t="n">
        <f aca="false">6月!N39</f>
        <v>0</v>
      </c>
      <c r="F39" s="7" t="n">
        <f aca="false">7月!N39</f>
        <v>18250</v>
      </c>
      <c r="G39" s="7" t="n">
        <f aca="false">8月!N39</f>
        <v>0</v>
      </c>
      <c r="H39" s="8" t="n">
        <f aca="false">SUM(C39:G39)</f>
        <v>193550</v>
      </c>
    </row>
    <row r="40" customFormat="false" ht="15" hidden="false" customHeight="false" outlineLevel="0" collapsed="false">
      <c r="A40" s="5" t="s">
        <v>17</v>
      </c>
      <c r="B40" s="6" t="s">
        <v>45</v>
      </c>
      <c r="C40" s="7" t="n">
        <f aca="false">4月!N40</f>
        <v>250615</v>
      </c>
      <c r="D40" s="7" t="n">
        <f aca="false">5月!N40</f>
        <v>198561</v>
      </c>
      <c r="E40" s="7" t="n">
        <f aca="false">6月!N40</f>
        <v>0</v>
      </c>
      <c r="F40" s="7" t="n">
        <f aca="false">7月!N40</f>
        <v>118646</v>
      </c>
      <c r="G40" s="7" t="n">
        <f aca="false">8月!N40</f>
        <v>0</v>
      </c>
      <c r="H40" s="8" t="n">
        <f aca="false">SUM(C40:G40)</f>
        <v>567822</v>
      </c>
    </row>
    <row r="41" customFormat="false" ht="15" hidden="false" customHeight="false" outlineLevel="0" collapsed="false">
      <c r="A41" s="5" t="s">
        <v>17</v>
      </c>
      <c r="B41" s="6" t="s">
        <v>46</v>
      </c>
      <c r="C41" s="7" t="n">
        <f aca="false">4月!N41</f>
        <v>97500</v>
      </c>
      <c r="D41" s="7" t="n">
        <f aca="false">5月!N41</f>
        <v>67900</v>
      </c>
      <c r="E41" s="7" t="n">
        <f aca="false">6月!N41</f>
        <v>95500</v>
      </c>
      <c r="F41" s="7" t="n">
        <f aca="false">7月!N41</f>
        <v>93100</v>
      </c>
      <c r="G41" s="7" t="n">
        <f aca="false">8月!N41</f>
        <v>76600</v>
      </c>
      <c r="H41" s="8" t="n">
        <f aca="false">SUM(C41:G41)</f>
        <v>430600</v>
      </c>
    </row>
    <row r="42" customFormat="false" ht="15" hidden="false" customHeight="false" outlineLevel="0" collapsed="false">
      <c r="A42" s="5" t="s">
        <v>17</v>
      </c>
      <c r="B42" s="6" t="s">
        <v>47</v>
      </c>
      <c r="C42" s="7" t="n">
        <f aca="false">4月!N42</f>
        <v>386146</v>
      </c>
      <c r="D42" s="7" t="n">
        <f aca="false">5月!N42</f>
        <v>299088</v>
      </c>
      <c r="E42" s="7" t="n">
        <f aca="false">6月!N42</f>
        <v>509067</v>
      </c>
      <c r="F42" s="7" t="n">
        <f aca="false">7月!N42</f>
        <v>454012</v>
      </c>
      <c r="G42" s="7" t="n">
        <f aca="false">8月!N42</f>
        <v>510390</v>
      </c>
      <c r="H42" s="8" t="n">
        <f aca="false">SUM(C42:G42)</f>
        <v>2158703</v>
      </c>
    </row>
    <row r="43" customFormat="false" ht="15" hidden="false" customHeight="false" outlineLevel="0" collapsed="false">
      <c r="A43" s="5" t="s">
        <v>27</v>
      </c>
      <c r="B43" s="6" t="s">
        <v>48</v>
      </c>
      <c r="C43" s="7" t="n">
        <f aca="false">4月!N43</f>
        <v>227432</v>
      </c>
      <c r="D43" s="7" t="n">
        <f aca="false">5月!N43</f>
        <v>228232</v>
      </c>
      <c r="E43" s="7" t="n">
        <f aca="false">6月!N43</f>
        <v>237182</v>
      </c>
      <c r="F43" s="7" t="n">
        <f aca="false">7月!N43</f>
        <v>240932</v>
      </c>
      <c r="G43" s="7" t="n">
        <f aca="false">8月!N43</f>
        <v>303900</v>
      </c>
      <c r="H43" s="8" t="n">
        <f aca="false">SUM(C43:G43)</f>
        <v>1237678</v>
      </c>
    </row>
    <row r="44" customFormat="false" ht="15" hidden="false" customHeight="false" outlineLevel="0" collapsed="false">
      <c r="A44" s="5" t="s">
        <v>27</v>
      </c>
      <c r="B44" s="6" t="s">
        <v>49</v>
      </c>
      <c r="C44" s="7" t="n">
        <f aca="false">4月!N44</f>
        <v>303900</v>
      </c>
      <c r="D44" s="7" t="n">
        <f aca="false">5月!N44</f>
        <v>303900</v>
      </c>
      <c r="E44" s="7" t="n">
        <f aca="false">6月!N44</f>
        <v>303900</v>
      </c>
      <c r="F44" s="7" t="n">
        <f aca="false">7月!N44</f>
        <v>303900</v>
      </c>
      <c r="G44" s="7" t="n">
        <f aca="false">8月!N44</f>
        <v>211950</v>
      </c>
      <c r="H44" s="8" t="n">
        <f aca="false">SUM(C44:G44)</f>
        <v>1427550</v>
      </c>
    </row>
    <row r="45" customFormat="false" ht="15" hidden="false" customHeight="false" outlineLevel="0" collapsed="false">
      <c r="A45" s="5"/>
      <c r="B45" s="9" t="s">
        <v>50</v>
      </c>
      <c r="C45" s="10" t="n">
        <f aca="false">4月!N45</f>
        <v>12832757</v>
      </c>
      <c r="D45" s="10" t="n">
        <f aca="false">5月!N45</f>
        <v>13443578</v>
      </c>
      <c r="E45" s="10" t="n">
        <f aca="false">6月!N45</f>
        <v>11850464</v>
      </c>
      <c r="F45" s="10" t="n">
        <f aca="false">7月!N45</f>
        <v>11927371</v>
      </c>
      <c r="G45" s="10" t="n">
        <f aca="false">8月!N45</f>
        <v>12380825</v>
      </c>
      <c r="H45" s="11" t="n">
        <f aca="false">SUM(C45:G45)</f>
        <v>62434995</v>
      </c>
    </row>
    <row r="46" customFormat="false" ht="15" hidden="false" customHeight="false" outlineLevel="0" collapsed="false">
      <c r="A46" s="5"/>
      <c r="B46" s="9" t="s">
        <v>51</v>
      </c>
      <c r="C46" s="10" t="n">
        <f aca="false">4月!N46</f>
        <v>48822166</v>
      </c>
      <c r="D46" s="10" t="n">
        <f aca="false">5月!N46</f>
        <v>38277617</v>
      </c>
      <c r="E46" s="10" t="n">
        <f aca="false">6月!N46</f>
        <v>52834324</v>
      </c>
      <c r="F46" s="10" t="n">
        <f aca="false">7月!N46</f>
        <v>52177982</v>
      </c>
      <c r="G46" s="10" t="n">
        <f aca="false">8月!N46</f>
        <v>47354727</v>
      </c>
      <c r="H46" s="11" t="n">
        <f aca="false">SUM(C46:G46)</f>
        <v>239466816</v>
      </c>
    </row>
    <row r="47" customFormat="false" ht="15" hidden="false" customHeight="false" outlineLevel="0" collapsed="false">
      <c r="A47" s="5"/>
      <c r="B47" s="9" t="s">
        <v>52</v>
      </c>
      <c r="C47" s="10" t="n">
        <f aca="false">4月!N49</f>
        <v>48822166</v>
      </c>
      <c r="D47" s="10" t="n">
        <f aca="false">5月!N49</f>
        <v>38277617</v>
      </c>
      <c r="E47" s="10" t="n">
        <f aca="false">6月!N49</f>
        <v>52834324</v>
      </c>
      <c r="F47" s="10" t="n">
        <f aca="false">7月!N49</f>
        <v>52177982</v>
      </c>
      <c r="G47" s="10" t="n">
        <f aca="false">8月!N49</f>
        <v>47354727</v>
      </c>
      <c r="H47" s="11" t="n">
        <f aca="false">SUM(C47:G47)</f>
        <v>239466816</v>
      </c>
    </row>
    <row r="48" customFormat="false" ht="15" hidden="false" customHeight="false" outlineLevel="0" collapsed="false">
      <c r="A48" s="5"/>
      <c r="B48" s="9" t="s">
        <v>53</v>
      </c>
      <c r="C48" s="10" t="n">
        <f aca="false">4月!N50</f>
        <v>2360750</v>
      </c>
      <c r="D48" s="10" t="n">
        <f aca="false">5月!N50</f>
        <v>2713519</v>
      </c>
      <c r="E48" s="10" t="n">
        <f aca="false">6月!N50</f>
        <v>10116408</v>
      </c>
      <c r="F48" s="10" t="n">
        <f aca="false">7月!N50</f>
        <v>-783407</v>
      </c>
      <c r="G48" s="10" t="n">
        <f aca="false">8月!N50</f>
        <v>2965575</v>
      </c>
      <c r="H48" s="11" t="n">
        <f aca="false">SUM(C48:G48)</f>
        <v>17372845</v>
      </c>
    </row>
    <row r="49" customFormat="false" ht="15" hidden="false" customHeight="false" outlineLevel="0" collapsed="false">
      <c r="A49" s="5"/>
      <c r="B49" s="6" t="s">
        <v>54</v>
      </c>
      <c r="C49" s="7" t="n">
        <f aca="false">4月!N51</f>
        <v>2955052</v>
      </c>
      <c r="D49" s="7" t="n">
        <f aca="false">5月!N51</f>
        <v>2955052</v>
      </c>
      <c r="E49" s="7" t="n">
        <f aca="false">6月!N51</f>
        <v>2955052</v>
      </c>
      <c r="F49" s="7" t="n">
        <f aca="false">7月!N51</f>
        <v>2955052</v>
      </c>
      <c r="G49" s="7" t="n">
        <f aca="false">8月!N51</f>
        <v>2955052</v>
      </c>
      <c r="H49" s="8" t="n">
        <f aca="false">SUM(C49:G49)</f>
        <v>14775260</v>
      </c>
    </row>
    <row r="50" customFormat="false" ht="15" hidden="false" customHeight="false" outlineLevel="0" collapsed="false">
      <c r="A50" s="5"/>
      <c r="B50" s="6" t="s">
        <v>55</v>
      </c>
      <c r="C50" s="7" t="n">
        <f aca="false">4月!N52</f>
        <v>4085844</v>
      </c>
      <c r="D50" s="7" t="n">
        <f aca="false">5月!N52</f>
        <v>3877961</v>
      </c>
      <c r="E50" s="7" t="n">
        <f aca="false">6月!N52</f>
        <v>4076480</v>
      </c>
      <c r="F50" s="7" t="n">
        <f aca="false">7月!N52</f>
        <v>4620471</v>
      </c>
      <c r="G50" s="7" t="n">
        <f aca="false">8月!N52</f>
        <v>3685120</v>
      </c>
      <c r="H50" s="8" t="n">
        <f aca="false">SUM(C50:G50)</f>
        <v>20345876</v>
      </c>
    </row>
    <row r="51" customFormat="false" ht="15" hidden="false" customHeight="false" outlineLevel="0" collapsed="false">
      <c r="A51" s="5"/>
      <c r="B51" s="6" t="s">
        <v>23</v>
      </c>
      <c r="C51" s="7" t="n">
        <f aca="false">4月!N53</f>
        <v>949310</v>
      </c>
      <c r="D51" s="7" t="n">
        <f aca="false">5月!N53</f>
        <v>0</v>
      </c>
      <c r="E51" s="7" t="n">
        <f aca="false">6月!N53</f>
        <v>1913842</v>
      </c>
      <c r="F51" s="7" t="n">
        <f aca="false">7月!N53</f>
        <v>920045</v>
      </c>
      <c r="G51" s="7" t="n">
        <f aca="false">8月!N53</f>
        <v>1052314</v>
      </c>
      <c r="H51" s="8" t="n">
        <f aca="false">SUM(C51:G51)</f>
        <v>4835511</v>
      </c>
    </row>
    <row r="52" customFormat="false" ht="15" hidden="false" customHeight="false" outlineLevel="0" collapsed="false">
      <c r="A52" s="5"/>
      <c r="B52" s="6" t="s">
        <v>24</v>
      </c>
      <c r="C52" s="7" t="n">
        <f aca="false">4月!N54</f>
        <v>13561</v>
      </c>
      <c r="D52" s="7" t="n">
        <f aca="false">5月!N54</f>
        <v>29743</v>
      </c>
      <c r="E52" s="7" t="n">
        <f aca="false">6月!N54</f>
        <v>11425</v>
      </c>
      <c r="F52" s="7" t="n">
        <f aca="false">7月!N54</f>
        <v>11249</v>
      </c>
      <c r="G52" s="7" t="n">
        <f aca="false">8月!N54</f>
        <v>15073</v>
      </c>
      <c r="H52" s="8" t="n">
        <f aca="false">SUM(C52:G52)</f>
        <v>81051</v>
      </c>
    </row>
    <row r="53" customFormat="false" ht="15" hidden="false" customHeight="false" outlineLevel="0" collapsed="false">
      <c r="A53" s="5"/>
      <c r="B53" s="6" t="s">
        <v>56</v>
      </c>
      <c r="C53" s="7" t="n">
        <f aca="false">4月!N55</f>
        <v>50060</v>
      </c>
      <c r="D53" s="7" t="n">
        <f aca="false">5月!N55</f>
        <v>55785</v>
      </c>
      <c r="E53" s="7" t="n">
        <f aca="false">6月!N55</f>
        <v>418702</v>
      </c>
      <c r="F53" s="7" t="n">
        <f aca="false">7月!N55</f>
        <v>500604</v>
      </c>
      <c r="G53" s="7" t="n">
        <f aca="false">8月!N55</f>
        <v>94510</v>
      </c>
      <c r="H53" s="8" t="n">
        <f aca="false">SUM(C53:G53)</f>
        <v>1119661</v>
      </c>
    </row>
    <row r="54" customFormat="false" ht="15" hidden="false" customHeight="false" outlineLevel="0" collapsed="false">
      <c r="A54" s="5"/>
      <c r="B54" s="6" t="s">
        <v>57</v>
      </c>
      <c r="C54" s="7" t="n">
        <f aca="false">4月!N56</f>
        <v>162246</v>
      </c>
      <c r="D54" s="7" t="n">
        <f aca="false">5月!N56</f>
        <v>78259</v>
      </c>
      <c r="E54" s="7" t="n">
        <f aca="false">6月!N56</f>
        <v>225537</v>
      </c>
      <c r="F54" s="7" t="n">
        <f aca="false">7月!N56</f>
        <v>164501</v>
      </c>
      <c r="G54" s="7" t="n">
        <f aca="false">8月!N56</f>
        <v>154896</v>
      </c>
      <c r="H54" s="8" t="n">
        <f aca="false">SUM(C54:G54)</f>
        <v>785439</v>
      </c>
    </row>
    <row r="55" customFormat="false" ht="15" hidden="false" customHeight="false" outlineLevel="0" collapsed="false">
      <c r="A55" s="5"/>
      <c r="B55" s="6" t="s">
        <v>58</v>
      </c>
      <c r="C55" s="7" t="n">
        <f aca="false">4月!N57</f>
        <v>0</v>
      </c>
      <c r="D55" s="7" t="n">
        <f aca="false">5月!N57</f>
        <v>305362</v>
      </c>
      <c r="E55" s="7" t="n">
        <f aca="false">6月!N57</f>
        <v>203600</v>
      </c>
      <c r="F55" s="7" t="n">
        <f aca="false">7月!N57</f>
        <v>222940</v>
      </c>
      <c r="G55" s="7" t="n">
        <f aca="false">8月!N57</f>
        <v>0</v>
      </c>
      <c r="H55" s="8" t="n">
        <f aca="false">SUM(C55:G55)</f>
        <v>731902</v>
      </c>
    </row>
    <row r="56" customFormat="false" ht="15" hidden="false" customHeight="false" outlineLevel="0" collapsed="false">
      <c r="A56" s="5"/>
      <c r="B56" s="6" t="s">
        <v>59</v>
      </c>
      <c r="C56" s="7" t="n">
        <f aca="false">4月!N58</f>
        <v>0</v>
      </c>
      <c r="D56" s="7" t="n">
        <f aca="false">5月!N58</f>
        <v>8860</v>
      </c>
      <c r="E56" s="7" t="n">
        <f aca="false">6月!N58</f>
        <v>100400</v>
      </c>
      <c r="F56" s="7" t="n">
        <f aca="false">7月!N58</f>
        <v>230124</v>
      </c>
      <c r="G56" s="7" t="n">
        <f aca="false">8月!N58</f>
        <v>40000</v>
      </c>
      <c r="H56" s="8" t="n">
        <f aca="false">SUM(C56:G56)</f>
        <v>379384</v>
      </c>
    </row>
    <row r="57" customFormat="false" ht="15" hidden="false" customHeight="false" outlineLevel="0" collapsed="false">
      <c r="A57" s="5"/>
      <c r="B57" s="6" t="s">
        <v>60</v>
      </c>
      <c r="C57" s="7" t="n">
        <f aca="false">4月!N59</f>
        <v>0</v>
      </c>
      <c r="D57" s="7" t="n">
        <f aca="false">5月!N59</f>
        <v>0</v>
      </c>
      <c r="E57" s="7" t="n">
        <f aca="false">6月!N59</f>
        <v>0</v>
      </c>
      <c r="F57" s="7" t="n">
        <f aca="false">7月!N59</f>
        <v>0</v>
      </c>
      <c r="G57" s="7" t="n">
        <f aca="false">8月!N59</f>
        <v>0</v>
      </c>
      <c r="H57" s="8" t="n">
        <f aca="false">SUM(C57:G57)</f>
        <v>0</v>
      </c>
    </row>
    <row r="58" customFormat="false" ht="15" hidden="false" customHeight="false" outlineLevel="0" collapsed="false">
      <c r="A58" s="5"/>
      <c r="B58" s="6" t="s">
        <v>42</v>
      </c>
      <c r="C58" s="7" t="n">
        <f aca="false">4月!N60</f>
        <v>208095</v>
      </c>
      <c r="D58" s="7" t="n">
        <f aca="false">5月!N60</f>
        <v>175328</v>
      </c>
      <c r="E58" s="7" t="n">
        <f aca="false">6月!N60</f>
        <v>9833</v>
      </c>
      <c r="F58" s="7" t="n">
        <f aca="false">7月!N60</f>
        <v>70946</v>
      </c>
      <c r="G58" s="7" t="n">
        <f aca="false">8月!N60</f>
        <v>87900</v>
      </c>
      <c r="H58" s="8" t="n">
        <f aca="false">SUM(C58:G58)</f>
        <v>552102</v>
      </c>
    </row>
    <row r="59" customFormat="false" ht="15" hidden="false" customHeight="false" outlineLevel="0" collapsed="false">
      <c r="A59" s="5"/>
      <c r="B59" s="6" t="s">
        <v>44</v>
      </c>
      <c r="C59" s="7" t="n">
        <f aca="false">4月!N61</f>
        <v>0</v>
      </c>
      <c r="D59" s="7" t="n">
        <f aca="false">5月!N61</f>
        <v>4000</v>
      </c>
      <c r="E59" s="7" t="n">
        <f aca="false">6月!N61</f>
        <v>1609700</v>
      </c>
      <c r="F59" s="7" t="n">
        <f aca="false">7月!N61</f>
        <v>1750</v>
      </c>
      <c r="G59" s="7" t="n">
        <f aca="false">8月!N61</f>
        <v>1400</v>
      </c>
      <c r="H59" s="8" t="n">
        <f aca="false">SUM(C59:G59)</f>
        <v>1616850</v>
      </c>
    </row>
    <row r="60" customFormat="false" ht="15" hidden="false" customHeight="false" outlineLevel="0" collapsed="false">
      <c r="A60" s="5"/>
      <c r="B60" s="6" t="s">
        <v>61</v>
      </c>
      <c r="C60" s="7" t="n">
        <f aca="false">4月!N62</f>
        <v>8518</v>
      </c>
      <c r="D60" s="7" t="n">
        <f aca="false">5月!N62</f>
        <v>6384</v>
      </c>
      <c r="E60" s="7" t="n">
        <f aca="false">6月!N62</f>
        <v>8518</v>
      </c>
      <c r="F60" s="7" t="n">
        <f aca="false">7月!N62</f>
        <v>7801</v>
      </c>
      <c r="G60" s="7" t="n">
        <f aca="false">8月!N62</f>
        <v>8518</v>
      </c>
      <c r="H60" s="8" t="n">
        <f aca="false">SUM(C60:G60)</f>
        <v>39739</v>
      </c>
    </row>
    <row r="61" customFormat="false" ht="15" hidden="false" customHeight="false" outlineLevel="0" collapsed="false">
      <c r="A61" s="5"/>
      <c r="B61" s="6" t="s">
        <v>62</v>
      </c>
      <c r="C61" s="7" t="n">
        <f aca="false">4月!N63</f>
        <v>86528</v>
      </c>
      <c r="D61" s="7" t="n">
        <f aca="false">5月!N63</f>
        <v>62349</v>
      </c>
      <c r="E61" s="7" t="n">
        <f aca="false">6月!N63</f>
        <v>161918</v>
      </c>
      <c r="F61" s="7" t="n">
        <f aca="false">7月!N63</f>
        <v>54023</v>
      </c>
      <c r="G61" s="7" t="n">
        <f aca="false">8月!N63</f>
        <v>52678</v>
      </c>
      <c r="H61" s="8" t="n">
        <f aca="false">SUM(C61:G61)</f>
        <v>417496</v>
      </c>
    </row>
    <row r="62" customFormat="false" ht="15" hidden="false" customHeight="false" outlineLevel="0" collapsed="false">
      <c r="A62" s="5"/>
      <c r="B62" s="6" t="s">
        <v>63</v>
      </c>
      <c r="C62" s="7" t="n">
        <f aca="false">4月!N64</f>
        <v>12000</v>
      </c>
      <c r="D62" s="7" t="n">
        <f aca="false">5月!N64</f>
        <v>0</v>
      </c>
      <c r="E62" s="7" t="n">
        <f aca="false">6月!N64</f>
        <v>50000</v>
      </c>
      <c r="F62" s="7" t="n">
        <f aca="false">7月!N64</f>
        <v>117000</v>
      </c>
      <c r="G62" s="7" t="n">
        <f aca="false">8月!N64</f>
        <v>0</v>
      </c>
      <c r="H62" s="8" t="n">
        <f aca="false">SUM(C62:G62)</f>
        <v>179000</v>
      </c>
    </row>
    <row r="63" customFormat="false" ht="15" hidden="false" customHeight="false" outlineLevel="0" collapsed="false">
      <c r="A63" s="5"/>
      <c r="B63" s="6" t="s">
        <v>64</v>
      </c>
      <c r="C63" s="7" t="n">
        <f aca="false">4月!N65</f>
        <v>205439</v>
      </c>
      <c r="D63" s="7" t="n">
        <f aca="false">5月!N65</f>
        <v>177631</v>
      </c>
      <c r="E63" s="7" t="n">
        <f aca="false">6月!N65</f>
        <v>214400</v>
      </c>
      <c r="F63" s="7" t="n">
        <f aca="false">7月!N65</f>
        <v>153000</v>
      </c>
      <c r="G63" s="7" t="n">
        <f aca="false">8月!N65</f>
        <v>200598</v>
      </c>
      <c r="H63" s="8" t="n">
        <f aca="false">SUM(C63:G63)</f>
        <v>951068</v>
      </c>
    </row>
    <row r="64" customFormat="false" ht="15" hidden="false" customHeight="false" outlineLevel="0" collapsed="false">
      <c r="A64" s="5"/>
      <c r="B64" s="6" t="s">
        <v>38</v>
      </c>
      <c r="C64" s="7" t="n">
        <f aca="false">4月!N66</f>
        <v>47075</v>
      </c>
      <c r="D64" s="7" t="n">
        <f aca="false">5月!N66</f>
        <v>47075</v>
      </c>
      <c r="E64" s="7" t="n">
        <f aca="false">6月!N66</f>
        <v>68925</v>
      </c>
      <c r="F64" s="7" t="n">
        <f aca="false">7月!N66</f>
        <v>47075</v>
      </c>
      <c r="G64" s="7" t="n">
        <f aca="false">8月!N66</f>
        <v>123395</v>
      </c>
      <c r="H64" s="8" t="n">
        <f aca="false">SUM(C64:G64)</f>
        <v>333545</v>
      </c>
    </row>
    <row r="65" customFormat="false" ht="15" hidden="false" customHeight="false" outlineLevel="0" collapsed="false">
      <c r="A65" s="5"/>
      <c r="B65" s="6" t="s">
        <v>65</v>
      </c>
      <c r="C65" s="7" t="n">
        <f aca="false">4月!N67</f>
        <v>10000</v>
      </c>
      <c r="D65" s="7" t="n">
        <f aca="false">5月!N67</f>
        <v>59000</v>
      </c>
      <c r="E65" s="7" t="n">
        <f aca="false">6月!N67</f>
        <v>15000</v>
      </c>
      <c r="F65" s="7" t="n">
        <f aca="false">7月!N67</f>
        <v>110000</v>
      </c>
      <c r="G65" s="7" t="n">
        <f aca="false">8月!N67</f>
        <v>90000</v>
      </c>
      <c r="H65" s="8" t="n">
        <f aca="false">SUM(C65:G65)</f>
        <v>284000</v>
      </c>
    </row>
    <row r="66" customFormat="false" ht="15" hidden="false" customHeight="false" outlineLevel="0" collapsed="false">
      <c r="A66" s="5"/>
      <c r="B66" s="6" t="s">
        <v>66</v>
      </c>
      <c r="C66" s="7" t="n">
        <f aca="false">4月!N68</f>
        <v>13039</v>
      </c>
      <c r="D66" s="7" t="n">
        <f aca="false">5月!N68</f>
        <v>12847</v>
      </c>
      <c r="E66" s="7" t="n">
        <f aca="false">6月!N68</f>
        <v>21940</v>
      </c>
      <c r="F66" s="7" t="n">
        <f aca="false">7月!N68</f>
        <v>20653</v>
      </c>
      <c r="G66" s="7" t="n">
        <f aca="false">8月!N68</f>
        <v>8663</v>
      </c>
      <c r="H66" s="8" t="n">
        <f aca="false">SUM(C66:G66)</f>
        <v>77142</v>
      </c>
    </row>
    <row r="67" customFormat="false" ht="15" hidden="false" customHeight="false" outlineLevel="0" collapsed="false">
      <c r="A67" s="5"/>
      <c r="B67" s="6" t="s">
        <v>67</v>
      </c>
      <c r="C67" s="7" t="n">
        <f aca="false">4月!N69</f>
        <v>24300</v>
      </c>
      <c r="D67" s="7" t="n">
        <f aca="false">5月!N69</f>
        <v>21300</v>
      </c>
      <c r="E67" s="7" t="n">
        <f aca="false">6月!N69</f>
        <v>21300</v>
      </c>
      <c r="F67" s="7" t="n">
        <f aca="false">7月!N69</f>
        <v>24300</v>
      </c>
      <c r="G67" s="7" t="n">
        <f aca="false">8月!N69</f>
        <v>21300</v>
      </c>
      <c r="H67" s="8" t="n">
        <f aca="false">SUM(C67:G67)</f>
        <v>112500</v>
      </c>
    </row>
    <row r="68" customFormat="false" ht="15" hidden="false" customHeight="false" outlineLevel="0" collapsed="false">
      <c r="A68" s="5"/>
      <c r="B68" s="6" t="s">
        <v>45</v>
      </c>
      <c r="C68" s="7" t="n">
        <f aca="false">4月!N70</f>
        <v>0</v>
      </c>
      <c r="D68" s="7" t="n">
        <f aca="false">5月!N70</f>
        <v>0</v>
      </c>
      <c r="E68" s="7" t="n">
        <f aca="false">6月!N70</f>
        <v>0</v>
      </c>
      <c r="F68" s="7" t="n">
        <f aca="false">7月!N70</f>
        <v>0</v>
      </c>
      <c r="G68" s="7" t="n">
        <f aca="false">8月!N70</f>
        <v>0</v>
      </c>
      <c r="H68" s="8" t="n">
        <f aca="false">SUM(C68:G68)</f>
        <v>0</v>
      </c>
    </row>
    <row r="69" customFormat="false" ht="15" hidden="false" customHeight="false" outlineLevel="0" collapsed="false">
      <c r="A69" s="5"/>
      <c r="B69" s="6" t="s">
        <v>68</v>
      </c>
      <c r="C69" s="7" t="n">
        <f aca="false">4月!N71</f>
        <v>0</v>
      </c>
      <c r="D69" s="7" t="n">
        <f aca="false">5月!N71</f>
        <v>0</v>
      </c>
      <c r="E69" s="7" t="n">
        <f aca="false">6月!N71</f>
        <v>0</v>
      </c>
      <c r="F69" s="7" t="n">
        <f aca="false">7月!N71</f>
        <v>0</v>
      </c>
      <c r="G69" s="7" t="n">
        <f aca="false">8月!N71</f>
        <v>0</v>
      </c>
      <c r="H69" s="8" t="n">
        <f aca="false">SUM(C69:G69)</f>
        <v>0</v>
      </c>
    </row>
    <row r="70" customFormat="false" ht="15" hidden="false" customHeight="false" outlineLevel="0" collapsed="false">
      <c r="A70" s="5"/>
      <c r="B70" s="6" t="s">
        <v>69</v>
      </c>
      <c r="C70" s="7" t="n">
        <f aca="false">4月!N72</f>
        <v>140000</v>
      </c>
      <c r="D70" s="7" t="n">
        <f aca="false">5月!N72</f>
        <v>140000</v>
      </c>
      <c r="E70" s="7" t="n">
        <f aca="false">6月!N72</f>
        <v>140000</v>
      </c>
      <c r="F70" s="7" t="n">
        <f aca="false">7月!N72</f>
        <v>715000</v>
      </c>
      <c r="G70" s="7" t="n">
        <f aca="false">8月!N72</f>
        <v>240000</v>
      </c>
      <c r="H70" s="8" t="n">
        <f aca="false">SUM(C70:G70)</f>
        <v>1375000</v>
      </c>
    </row>
    <row r="71" customFormat="false" ht="15" hidden="false" customHeight="false" outlineLevel="0" collapsed="false">
      <c r="A71" s="5"/>
      <c r="B71" s="6" t="s">
        <v>70</v>
      </c>
      <c r="C71" s="7" t="n">
        <f aca="false">4月!N73</f>
        <v>0</v>
      </c>
      <c r="D71" s="7" t="n">
        <f aca="false">5月!N73</f>
        <v>0</v>
      </c>
      <c r="E71" s="7" t="n">
        <f aca="false">6月!N73</f>
        <v>0</v>
      </c>
      <c r="F71" s="7" t="n">
        <f aca="false">7月!N73</f>
        <v>5100</v>
      </c>
      <c r="G71" s="7" t="n">
        <f aca="false">8月!N73</f>
        <v>0</v>
      </c>
      <c r="H71" s="8" t="n">
        <f aca="false">SUM(C71:G71)</f>
        <v>5100</v>
      </c>
    </row>
    <row r="72" customFormat="false" ht="15" hidden="false" customHeight="false" outlineLevel="0" collapsed="false">
      <c r="A72" s="5"/>
      <c r="B72" s="6" t="s">
        <v>40</v>
      </c>
      <c r="C72" s="7" t="n">
        <f aca="false">4月!N74</f>
        <v>0</v>
      </c>
      <c r="D72" s="7" t="n">
        <f aca="false">5月!N74</f>
        <v>0</v>
      </c>
      <c r="E72" s="7" t="n">
        <f aca="false">6月!N74</f>
        <v>0</v>
      </c>
      <c r="F72" s="7" t="n">
        <f aca="false">7月!N74</f>
        <v>0</v>
      </c>
      <c r="G72" s="7" t="n">
        <f aca="false">8月!N74</f>
        <v>0</v>
      </c>
      <c r="H72" s="8" t="n">
        <f aca="false">SUM(C72:G72)</f>
        <v>0</v>
      </c>
    </row>
    <row r="73" customFormat="false" ht="15" hidden="false" customHeight="false" outlineLevel="0" collapsed="false">
      <c r="A73" s="5"/>
      <c r="B73" s="6" t="s">
        <v>48</v>
      </c>
      <c r="C73" s="7" t="n">
        <f aca="false">4月!N75</f>
        <v>210445</v>
      </c>
      <c r="D73" s="7" t="n">
        <f aca="false">5月!N75</f>
        <v>206161</v>
      </c>
      <c r="E73" s="7" t="n">
        <f aca="false">6月!N75</f>
        <v>276300</v>
      </c>
      <c r="F73" s="7" t="n">
        <f aca="false">7月!N75</f>
        <v>223261</v>
      </c>
      <c r="G73" s="7" t="n">
        <f aca="false">8月!N75</f>
        <v>222250</v>
      </c>
      <c r="H73" s="8" t="n">
        <f aca="false">SUM(C73:G73)</f>
        <v>1138417</v>
      </c>
    </row>
    <row r="74" customFormat="false" ht="15" hidden="false" customHeight="false" outlineLevel="0" collapsed="false">
      <c r="A74" s="5"/>
      <c r="B74" s="6" t="s">
        <v>71</v>
      </c>
      <c r="C74" s="7" t="n">
        <f aca="false">4月!N76</f>
        <v>231000</v>
      </c>
      <c r="D74" s="7" t="n">
        <f aca="false">5月!N76</f>
        <v>65000</v>
      </c>
      <c r="E74" s="7" t="n">
        <f aca="false">6月!N76</f>
        <v>397000</v>
      </c>
      <c r="F74" s="7" t="n">
        <f aca="false">7月!N76</f>
        <v>231000</v>
      </c>
      <c r="G74" s="7" t="n">
        <f aca="false">8月!N76</f>
        <v>166000</v>
      </c>
      <c r="H74" s="8" t="n">
        <f aca="false">SUM(C74:G74)</f>
        <v>1090000</v>
      </c>
    </row>
    <row r="75" customFormat="false" ht="15" hidden="false" customHeight="false" outlineLevel="0" collapsed="false">
      <c r="A75" s="5" t="s">
        <v>27</v>
      </c>
      <c r="B75" s="9" t="s">
        <v>72</v>
      </c>
      <c r="C75" s="10" t="n">
        <f aca="false">4月!N78</f>
        <v>9412512</v>
      </c>
      <c r="D75" s="10" t="n">
        <f aca="false">5月!N78</f>
        <v>8288097</v>
      </c>
      <c r="E75" s="10" t="n">
        <f aca="false">6月!N78</f>
        <v>12899872</v>
      </c>
      <c r="F75" s="10" t="n">
        <f aca="false">7月!N78</f>
        <v>11405895</v>
      </c>
      <c r="G75" s="10" t="n">
        <f aca="false">8月!N78</f>
        <v>9219667</v>
      </c>
      <c r="H75" s="11" t="n">
        <f aca="false">SUM(C75:G75)</f>
        <v>51226043</v>
      </c>
    </row>
    <row r="76" customFormat="false" ht="15" hidden="false" customHeight="false" outlineLevel="0" collapsed="false">
      <c r="A76" s="5"/>
      <c r="B76" s="9" t="s">
        <v>73</v>
      </c>
      <c r="C76" s="10" t="n">
        <f aca="false">4月!N79</f>
        <v>-7051762</v>
      </c>
      <c r="D76" s="10" t="n">
        <f aca="false">5月!N79</f>
        <v>-5574578</v>
      </c>
      <c r="E76" s="10" t="n">
        <f aca="false">6月!N79</f>
        <v>-2783464</v>
      </c>
      <c r="F76" s="10" t="n">
        <f aca="false">7月!N79</f>
        <v>-12189302</v>
      </c>
      <c r="G76" s="10" t="n">
        <f aca="false">8月!N79</f>
        <v>-6254092</v>
      </c>
      <c r="H76" s="11" t="n">
        <f aca="false">SUM(C76:G76)</f>
        <v>-33853198</v>
      </c>
    </row>
    <row r="77" customFormat="false" ht="15" hidden="false" customHeight="false" outlineLevel="0" collapsed="false">
      <c r="A77" s="5"/>
      <c r="B77" s="6" t="s">
        <v>74</v>
      </c>
      <c r="C77" s="7" t="n">
        <f aca="false">4月!N80</f>
        <v>0</v>
      </c>
      <c r="D77" s="7" t="n">
        <f aca="false">5月!N80</f>
        <v>0</v>
      </c>
      <c r="E77" s="7" t="n">
        <f aca="false">6月!N80</f>
        <v>0</v>
      </c>
      <c r="F77" s="7" t="n">
        <f aca="false">7月!N80</f>
        <v>0</v>
      </c>
      <c r="G77" s="7" t="n">
        <f aca="false">8月!N80</f>
        <v>12371</v>
      </c>
      <c r="H77" s="8" t="n">
        <f aca="false">SUM(C77:G77)</f>
        <v>12371</v>
      </c>
    </row>
    <row r="78" customFormat="false" ht="15" hidden="false" customHeight="false" outlineLevel="0" collapsed="false">
      <c r="A78" s="5"/>
      <c r="B78" s="6" t="s">
        <v>75</v>
      </c>
      <c r="C78" s="7" t="n">
        <f aca="false">4月!N81</f>
        <v>0</v>
      </c>
      <c r="D78" s="7" t="n">
        <f aca="false">5月!N81</f>
        <v>0</v>
      </c>
      <c r="E78" s="7" t="n">
        <f aca="false">6月!N81</f>
        <v>31650</v>
      </c>
      <c r="F78" s="7" t="n">
        <f aca="false">7月!N81</f>
        <v>0</v>
      </c>
      <c r="G78" s="7" t="n">
        <f aca="false">8月!N81</f>
        <v>27500</v>
      </c>
      <c r="H78" s="8" t="n">
        <f aca="false">SUM(C78:G78)</f>
        <v>59150</v>
      </c>
    </row>
    <row r="79" customFormat="false" ht="15" hidden="false" customHeight="false" outlineLevel="0" collapsed="false">
      <c r="A79" s="5"/>
      <c r="B79" s="6" t="s">
        <v>76</v>
      </c>
      <c r="C79" s="7" t="n">
        <f aca="false">4月!N82</f>
        <v>90000</v>
      </c>
      <c r="D79" s="7" t="n">
        <f aca="false">5月!N82</f>
        <v>90000</v>
      </c>
      <c r="E79" s="7" t="n">
        <f aca="false">6月!N82</f>
        <v>90000</v>
      </c>
      <c r="F79" s="7" t="n">
        <f aca="false">7月!N82</f>
        <v>90000</v>
      </c>
      <c r="G79" s="7" t="n">
        <f aca="false">8月!N82</f>
        <v>90000</v>
      </c>
      <c r="H79" s="8" t="n">
        <f aca="false">SUM(C79:G79)</f>
        <v>450000</v>
      </c>
    </row>
    <row r="80" customFormat="false" ht="15" hidden="false" customHeight="false" outlineLevel="0" collapsed="false">
      <c r="A80" s="5"/>
      <c r="B80" s="6" t="s">
        <v>77</v>
      </c>
      <c r="C80" s="7" t="n">
        <f aca="false">4月!N83</f>
        <v>7279</v>
      </c>
      <c r="D80" s="7" t="n">
        <f aca="false">5月!N83</f>
        <v>7242</v>
      </c>
      <c r="E80" s="7" t="n">
        <f aca="false">6月!N83</f>
        <v>6292</v>
      </c>
      <c r="F80" s="7" t="n">
        <f aca="false">7月!N83</f>
        <v>22516</v>
      </c>
      <c r="G80" s="7" t="n">
        <f aca="false">8月!N83</f>
        <v>14329</v>
      </c>
      <c r="H80" s="8" t="n">
        <f aca="false">SUM(C80:G80)</f>
        <v>57658</v>
      </c>
    </row>
    <row r="81" customFormat="false" ht="15" hidden="false" customHeight="false" outlineLevel="0" collapsed="false">
      <c r="A81" s="5"/>
      <c r="B81" s="9" t="s">
        <v>78</v>
      </c>
      <c r="C81" s="10" t="n">
        <f aca="false">4月!N85</f>
        <v>97279</v>
      </c>
      <c r="D81" s="10" t="n">
        <f aca="false">5月!N85</f>
        <v>97242</v>
      </c>
      <c r="E81" s="10" t="n">
        <f aca="false">6月!N85</f>
        <v>127942</v>
      </c>
      <c r="F81" s="10" t="n">
        <f aca="false">7月!N85</f>
        <v>112516</v>
      </c>
      <c r="G81" s="10" t="n">
        <f aca="false">8月!N85</f>
        <v>144200</v>
      </c>
      <c r="H81" s="11" t="n">
        <f aca="false">SUM(C81:G81)</f>
        <v>579179</v>
      </c>
    </row>
    <row r="82" customFormat="false" ht="15" hidden="false" customHeight="false" outlineLevel="0" collapsed="false">
      <c r="A82" s="5"/>
      <c r="B82" s="6" t="s">
        <v>79</v>
      </c>
      <c r="C82" s="7" t="n">
        <f aca="false">4月!N86</f>
        <v>1586780</v>
      </c>
      <c r="D82" s="7" t="n">
        <f aca="false">5月!N86</f>
        <v>1276604</v>
      </c>
      <c r="E82" s="7" t="n">
        <f aca="false">6月!N86</f>
        <v>2303758</v>
      </c>
      <c r="F82" s="7" t="n">
        <f aca="false">7月!N86</f>
        <v>1717110</v>
      </c>
      <c r="G82" s="7" t="n">
        <f aca="false">8月!N86</f>
        <v>1754566</v>
      </c>
      <c r="H82" s="8" t="n">
        <f aca="false">SUM(C82:G82)</f>
        <v>8638818</v>
      </c>
    </row>
    <row r="83" customFormat="false" ht="15" hidden="false" customHeight="false" outlineLevel="0" collapsed="false">
      <c r="A83" s="5"/>
      <c r="B83" s="6" t="s">
        <v>80</v>
      </c>
      <c r="C83" s="7" t="n">
        <f aca="false">4月!N87</f>
        <v>16447</v>
      </c>
      <c r="D83" s="7" t="n">
        <f aca="false">5月!N87</f>
        <v>36524</v>
      </c>
      <c r="E83" s="7" t="n">
        <f aca="false">6月!N87</f>
        <v>16037</v>
      </c>
      <c r="F83" s="7" t="n">
        <f aca="false">7月!N87</f>
        <v>21843</v>
      </c>
      <c r="G83" s="7" t="n">
        <f aca="false">8月!N87</f>
        <v>20834</v>
      </c>
      <c r="H83" s="8" t="n">
        <f aca="false">SUM(C83:G83)</f>
        <v>111685</v>
      </c>
    </row>
    <row r="84" customFormat="false" ht="15" hidden="false" customHeight="false" outlineLevel="0" collapsed="false">
      <c r="A84" s="5"/>
      <c r="B84" s="6" t="s">
        <v>62</v>
      </c>
      <c r="C84" s="7" t="n">
        <f aca="false">4月!N88</f>
        <v>0</v>
      </c>
      <c r="D84" s="7" t="n">
        <f aca="false">5月!N88</f>
        <v>0</v>
      </c>
      <c r="E84" s="7" t="n">
        <f aca="false">6月!N88</f>
        <v>0</v>
      </c>
      <c r="F84" s="7" t="n">
        <f aca="false">7月!N88</f>
        <v>0</v>
      </c>
      <c r="G84" s="7" t="n">
        <f aca="false">8月!N88</f>
        <v>0</v>
      </c>
      <c r="H84" s="8" t="n">
        <f aca="false">SUM(C84:G84)</f>
        <v>0</v>
      </c>
    </row>
    <row r="85" customFormat="false" ht="15" hidden="false" customHeight="false" outlineLevel="0" collapsed="false">
      <c r="A85" s="5"/>
      <c r="B85" s="6" t="s">
        <v>81</v>
      </c>
      <c r="C85" s="7" t="n">
        <f aca="false">4月!N89</f>
        <v>0</v>
      </c>
      <c r="D85" s="7" t="n">
        <f aca="false">5月!N89</f>
        <v>0</v>
      </c>
      <c r="E85" s="7" t="n">
        <f aca="false">6月!N89</f>
        <v>0</v>
      </c>
      <c r="F85" s="7" t="n">
        <f aca="false">7月!N89</f>
        <v>0</v>
      </c>
      <c r="G85" s="7" t="n">
        <f aca="false">8月!N89</f>
        <v>0</v>
      </c>
      <c r="H85" s="8" t="n">
        <f aca="false">SUM(C85:G85)</f>
        <v>0</v>
      </c>
    </row>
    <row r="86" customFormat="false" ht="15" hidden="false" customHeight="false" outlineLevel="0" collapsed="false">
      <c r="A86" s="5" t="s">
        <v>27</v>
      </c>
      <c r="B86" s="9" t="s">
        <v>82</v>
      </c>
      <c r="C86" s="10" t="n">
        <f aca="false">4月!N90</f>
        <v>1603227</v>
      </c>
      <c r="D86" s="10" t="n">
        <f aca="false">5月!N90</f>
        <v>1313128</v>
      </c>
      <c r="E86" s="10" t="n">
        <f aca="false">6月!N90</f>
        <v>2319795</v>
      </c>
      <c r="F86" s="10" t="n">
        <f aca="false">7月!N90</f>
        <v>1738953</v>
      </c>
      <c r="G86" s="10" t="n">
        <f aca="false">8月!N90</f>
        <v>1775400</v>
      </c>
      <c r="H86" s="11" t="n">
        <f aca="false">SUM(C86:G86)</f>
        <v>8750503</v>
      </c>
    </row>
    <row r="87" customFormat="false" ht="15" hidden="false" customHeight="false" outlineLevel="0" collapsed="false">
      <c r="A87" s="5"/>
      <c r="B87" s="9" t="s">
        <v>83</v>
      </c>
      <c r="C87" s="10" t="n">
        <f aca="false">4月!N91</f>
        <v>-8557710</v>
      </c>
      <c r="D87" s="10" t="n">
        <f aca="false">5月!N91</f>
        <v>-6790464</v>
      </c>
      <c r="E87" s="10" t="n">
        <f aca="false">6月!N91</f>
        <v>-4975317</v>
      </c>
      <c r="F87" s="10" t="n">
        <f aca="false">7月!N91</f>
        <v>-13815739</v>
      </c>
      <c r="G87" s="10" t="n">
        <f aca="false">8月!N91</f>
        <v>-7885292</v>
      </c>
      <c r="H87" s="11" t="n">
        <f aca="false">SUM(C87:G87)</f>
        <v>-42024522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  <col collapsed="false" customWidth="true" hidden="false" outlineLevel="0" max="6" min="6" style="0" width="6"/>
    <col collapsed="false" customWidth="true" hidden="false" outlineLevel="0" max="7" min="7" style="0" width="3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5" min="14" style="0" width="13"/>
    <col collapsed="false" customWidth="true" hidden="false" outlineLevel="0" max="16" min="16" style="0" width="6"/>
    <col collapsed="false" customWidth="true" hidden="false" outlineLevel="0" max="18" min="17" style="0" width="9"/>
  </cols>
  <sheetData>
    <row r="1" customFormat="false" ht="19.4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2" t="s">
        <v>91</v>
      </c>
      <c r="B4" s="12" t="s">
        <v>92</v>
      </c>
      <c r="C4" s="12" t="s">
        <v>93</v>
      </c>
      <c r="D4" s="12" t="s">
        <v>94</v>
      </c>
      <c r="E4" s="12" t="s">
        <v>95</v>
      </c>
      <c r="F4" s="12" t="s">
        <v>96</v>
      </c>
      <c r="H4" s="12"/>
      <c r="I4" s="12" t="s">
        <v>2</v>
      </c>
      <c r="J4" s="12" t="s">
        <v>92</v>
      </c>
      <c r="K4" s="12" t="s">
        <v>97</v>
      </c>
      <c r="L4" s="12" t="s">
        <v>93</v>
      </c>
      <c r="M4" s="12" t="s">
        <v>97</v>
      </c>
      <c r="N4" s="12" t="s">
        <v>98</v>
      </c>
      <c r="O4" s="12" t="s">
        <v>95</v>
      </c>
      <c r="P4" s="12" t="s">
        <v>96</v>
      </c>
      <c r="Q4" s="12" t="s">
        <v>99</v>
      </c>
      <c r="R4" s="12" t="s">
        <v>100</v>
      </c>
    </row>
    <row r="5" customFormat="false" ht="15" hidden="false" customHeight="false" outlineLevel="0" collapsed="false">
      <c r="A5" s="13" t="s">
        <v>101</v>
      </c>
      <c r="B5" s="14" t="n">
        <v>13381671</v>
      </c>
      <c r="C5" s="14" t="n">
        <v>30150687</v>
      </c>
      <c r="D5" s="14" t="n">
        <v>7334649</v>
      </c>
      <c r="E5" s="14" t="n">
        <v>50867007</v>
      </c>
      <c r="F5" s="15"/>
      <c r="H5" s="5"/>
      <c r="I5" s="13" t="s">
        <v>9</v>
      </c>
      <c r="J5" s="14" t="n">
        <v>15066113</v>
      </c>
      <c r="K5" s="16" t="n">
        <v>0.99</v>
      </c>
      <c r="L5" s="14" t="n">
        <v>35800894</v>
      </c>
      <c r="M5" s="16" t="n">
        <v>0.996</v>
      </c>
      <c r="N5" s="14" t="n">
        <v>50867007</v>
      </c>
      <c r="O5" s="14" t="n">
        <v>50867007</v>
      </c>
      <c r="P5" s="15" t="s">
        <v>102</v>
      </c>
      <c r="Q5" s="16" t="n">
        <v>0.296</v>
      </c>
      <c r="R5" s="16" t="n">
        <v>0.704</v>
      </c>
    </row>
    <row r="6" customFormat="false" ht="15" hidden="false" customHeight="false" outlineLevel="0" collapsed="false">
      <c r="A6" s="13" t="s">
        <v>103</v>
      </c>
      <c r="B6" s="17" t="n">
        <v>0.2631</v>
      </c>
      <c r="C6" s="17" t="n">
        <v>0.5927</v>
      </c>
      <c r="D6" s="17" t="n">
        <v>0.1442</v>
      </c>
      <c r="E6" s="17" t="n">
        <v>1</v>
      </c>
      <c r="F6" s="18" t="n">
        <v>1</v>
      </c>
      <c r="H6" s="5"/>
      <c r="I6" s="13" t="s">
        <v>10</v>
      </c>
      <c r="J6" s="14" t="n">
        <v>159489</v>
      </c>
      <c r="K6" s="16" t="n">
        <v>0.01</v>
      </c>
      <c r="L6" s="14" t="n">
        <v>534981</v>
      </c>
      <c r="M6" s="16" t="n">
        <v>0.015</v>
      </c>
      <c r="N6" s="14" t="n">
        <v>694470</v>
      </c>
      <c r="O6" s="14" t="n">
        <v>694470</v>
      </c>
      <c r="P6" s="18" t="n">
        <v>4</v>
      </c>
      <c r="Q6" s="16" t="n">
        <v>0.23</v>
      </c>
      <c r="R6" s="16" t="n">
        <v>0.77</v>
      </c>
    </row>
    <row r="7" customFormat="false" ht="15" hidden="false" customHeight="false" outlineLevel="0" collapsed="false">
      <c r="A7" s="13" t="s">
        <v>104</v>
      </c>
      <c r="B7" s="14" t="n">
        <v>12</v>
      </c>
      <c r="C7" s="14" t="n">
        <v>10</v>
      </c>
      <c r="D7" s="14" t="n">
        <v>44</v>
      </c>
      <c r="E7" s="14" t="n">
        <v>66</v>
      </c>
      <c r="F7" s="15"/>
      <c r="H7" s="5"/>
      <c r="I7" s="13" t="s">
        <v>11</v>
      </c>
      <c r="J7" s="14" t="n">
        <v>1029</v>
      </c>
      <c r="K7" s="16" t="n">
        <v>0</v>
      </c>
      <c r="L7" s="14" t="n">
        <v>377532</v>
      </c>
      <c r="M7" s="16" t="n">
        <v>0.01</v>
      </c>
      <c r="N7" s="14" t="n">
        <v>378561</v>
      </c>
      <c r="O7" s="14" t="n">
        <v>378561</v>
      </c>
      <c r="P7" s="15" t="s">
        <v>102</v>
      </c>
      <c r="Q7" s="16" t="n">
        <v>0.003</v>
      </c>
      <c r="R7" s="16" t="n">
        <v>0.997</v>
      </c>
    </row>
    <row r="8" customFormat="false" ht="15" hidden="false" customHeight="false" outlineLevel="0" collapsed="false">
      <c r="A8" s="13" t="s">
        <v>105</v>
      </c>
      <c r="B8" s="17" t="n">
        <v>0.1818</v>
      </c>
      <c r="C8" s="17" t="n">
        <v>0.1515</v>
      </c>
      <c r="D8" s="17" t="n">
        <v>0.6667</v>
      </c>
      <c r="E8" s="17" t="n">
        <v>1</v>
      </c>
      <c r="F8" s="18" t="n">
        <v>2</v>
      </c>
      <c r="H8" s="9"/>
      <c r="I8" s="9" t="s">
        <v>12</v>
      </c>
      <c r="J8" s="11" t="n">
        <v>15224573</v>
      </c>
      <c r="K8" s="19" t="n">
        <v>1</v>
      </c>
      <c r="L8" s="11" t="n">
        <v>35958343</v>
      </c>
      <c r="M8" s="19" t="n">
        <v>1</v>
      </c>
      <c r="N8" s="11" t="n">
        <v>51182916</v>
      </c>
      <c r="O8" s="11" t="n">
        <v>51182916</v>
      </c>
      <c r="P8" s="20"/>
      <c r="Q8" s="19" t="n">
        <v>0.297</v>
      </c>
      <c r="R8" s="19" t="n">
        <v>0.703</v>
      </c>
    </row>
    <row r="9" customFormat="false" ht="15" hidden="false" customHeight="false" outlineLevel="0" collapsed="false">
      <c r="A9" s="13" t="s">
        <v>106</v>
      </c>
      <c r="B9" s="14" t="n">
        <v>63</v>
      </c>
      <c r="C9" s="14" t="n">
        <v>112</v>
      </c>
      <c r="D9" s="14" t="n">
        <v>0</v>
      </c>
      <c r="E9" s="14" t="n">
        <v>175</v>
      </c>
      <c r="F9" s="15"/>
      <c r="H9" s="5"/>
      <c r="I9" s="13" t="s">
        <v>13</v>
      </c>
      <c r="J9" s="14" t="n">
        <v>22</v>
      </c>
      <c r="K9" s="5"/>
      <c r="L9" s="14" t="n">
        <v>44</v>
      </c>
      <c r="M9" s="5"/>
      <c r="N9" s="14" t="n">
        <v>66</v>
      </c>
      <c r="O9" s="14" t="n">
        <v>66</v>
      </c>
      <c r="P9" s="15"/>
      <c r="Q9" s="16" t="n">
        <v>0.335</v>
      </c>
      <c r="R9" s="16" t="n">
        <v>0.665</v>
      </c>
    </row>
    <row r="10" customFormat="false" ht="15" hidden="false" customHeight="false" outlineLevel="0" collapsed="false">
      <c r="A10" s="13" t="s">
        <v>107</v>
      </c>
      <c r="B10" s="17" t="n">
        <v>0.36</v>
      </c>
      <c r="C10" s="17" t="n">
        <v>0.64</v>
      </c>
      <c r="D10" s="17" t="n">
        <v>0</v>
      </c>
      <c r="E10" s="17" t="n">
        <v>1</v>
      </c>
      <c r="F10" s="18" t="n">
        <v>3</v>
      </c>
      <c r="H10" s="5"/>
      <c r="I10" s="13" t="s">
        <v>14</v>
      </c>
      <c r="J10" s="14" t="n">
        <v>63</v>
      </c>
      <c r="K10" s="5"/>
      <c r="L10" s="14" t="n">
        <v>112</v>
      </c>
      <c r="M10" s="5"/>
      <c r="N10" s="14" t="n">
        <v>175</v>
      </c>
      <c r="O10" s="14" t="n">
        <v>175</v>
      </c>
      <c r="P10" s="15"/>
      <c r="Q10" s="16" t="n">
        <v>0.36</v>
      </c>
      <c r="R10" s="16" t="n">
        <v>0.64</v>
      </c>
    </row>
    <row r="11" customFormat="false" ht="15" hidden="false" customHeight="false" outlineLevel="0" collapsed="false">
      <c r="A11" s="13" t="s">
        <v>108</v>
      </c>
      <c r="B11" s="14" t="n">
        <v>166573</v>
      </c>
      <c r="C11" s="14" t="n">
        <v>558744</v>
      </c>
      <c r="D11" s="14" t="n">
        <v>0</v>
      </c>
      <c r="E11" s="14" t="n">
        <v>725317</v>
      </c>
      <c r="F11" s="15"/>
      <c r="H11" s="5"/>
      <c r="I11" s="13" t="s">
        <v>15</v>
      </c>
      <c r="J11" s="14" t="n">
        <v>166573</v>
      </c>
      <c r="K11" s="5"/>
      <c r="L11" s="14" t="n">
        <v>558744</v>
      </c>
      <c r="M11" s="5"/>
      <c r="N11" s="14" t="n">
        <v>725317</v>
      </c>
      <c r="O11" s="14" t="n">
        <v>725317</v>
      </c>
      <c r="P11" s="15"/>
      <c r="Q11" s="16" t="n">
        <v>0.23</v>
      </c>
      <c r="R11" s="16" t="n">
        <v>0.77</v>
      </c>
    </row>
    <row r="12" customFormat="false" ht="15" hidden="false" customHeight="false" outlineLevel="0" collapsed="false">
      <c r="A12" s="13" t="s">
        <v>109</v>
      </c>
      <c r="B12" s="17" t="n">
        <v>0.2297</v>
      </c>
      <c r="C12" s="17" t="n">
        <v>0.7703</v>
      </c>
      <c r="D12" s="17" t="n">
        <v>0</v>
      </c>
      <c r="E12" s="17" t="n">
        <v>1</v>
      </c>
      <c r="F12" s="18" t="n">
        <v>4</v>
      </c>
      <c r="H12" s="5"/>
      <c r="I12" s="13" t="s">
        <v>16</v>
      </c>
      <c r="J12" s="14" t="n">
        <v>2644</v>
      </c>
      <c r="K12" s="5"/>
      <c r="L12" s="14" t="n">
        <v>4989</v>
      </c>
      <c r="M12" s="5"/>
      <c r="N12" s="14" t="n">
        <v>4145</v>
      </c>
      <c r="O12" s="14" t="n">
        <v>4145</v>
      </c>
      <c r="P12" s="15"/>
      <c r="Q12" s="5"/>
      <c r="R12" s="5"/>
    </row>
    <row r="13" customFormat="false" ht="15" hidden="false" customHeight="false" outlineLevel="0" collapsed="false">
      <c r="A13" s="13" t="s">
        <v>19</v>
      </c>
      <c r="B13" s="14" t="n">
        <v>1474851</v>
      </c>
      <c r="C13" s="14" t="n">
        <v>2359800</v>
      </c>
      <c r="D13" s="14" t="n">
        <v>500046</v>
      </c>
      <c r="E13" s="14" t="n">
        <v>4334697</v>
      </c>
      <c r="F13" s="15"/>
      <c r="H13" s="5" t="s">
        <v>17</v>
      </c>
      <c r="I13" s="13" t="s">
        <v>88</v>
      </c>
      <c r="J13" s="5"/>
      <c r="K13" s="5"/>
      <c r="L13" s="5"/>
      <c r="M13" s="5"/>
      <c r="N13" s="5"/>
      <c r="O13" s="14" t="n">
        <v>4690675</v>
      </c>
      <c r="P13" s="15" t="s">
        <v>102</v>
      </c>
      <c r="Q13" s="5"/>
      <c r="R13" s="5"/>
    </row>
    <row r="14" customFormat="false" ht="15" hidden="false" customHeight="false" outlineLevel="0" collapsed="false">
      <c r="A14" s="13" t="s">
        <v>20</v>
      </c>
      <c r="B14" s="14" t="n">
        <v>355978</v>
      </c>
      <c r="C14" s="14" t="n">
        <v>0</v>
      </c>
      <c r="D14" s="14" t="n">
        <v>0</v>
      </c>
      <c r="E14" s="14" t="n">
        <v>355978</v>
      </c>
      <c r="F14" s="15"/>
      <c r="H14" s="21" t="s">
        <v>17</v>
      </c>
      <c r="I14" s="9" t="s">
        <v>18</v>
      </c>
      <c r="J14" s="11" t="n">
        <v>1945667</v>
      </c>
      <c r="K14" s="19" t="n">
        <v>0.128</v>
      </c>
      <c r="L14" s="11" t="n">
        <v>2745008</v>
      </c>
      <c r="M14" s="19" t="n">
        <v>0.076</v>
      </c>
      <c r="N14" s="11" t="n">
        <v>4690675</v>
      </c>
      <c r="O14" s="11" t="n">
        <v>4690675</v>
      </c>
      <c r="P14" s="20"/>
      <c r="Q14" s="19" t="n">
        <v>0.415</v>
      </c>
      <c r="R14" s="19" t="n">
        <v>0.585</v>
      </c>
    </row>
    <row r="15" customFormat="false" ht="15" hidden="false" customHeight="false" outlineLevel="0" collapsed="false">
      <c r="A15" s="13" t="s">
        <v>110</v>
      </c>
      <c r="B15" s="14" t="n">
        <v>3961467</v>
      </c>
      <c r="C15" s="14" t="n">
        <v>2735344</v>
      </c>
      <c r="D15" s="14" t="n">
        <v>10873236</v>
      </c>
      <c r="E15" s="14" t="n">
        <v>17570047</v>
      </c>
      <c r="F15" s="15"/>
      <c r="H15" s="5"/>
      <c r="I15" s="13" t="s">
        <v>19</v>
      </c>
      <c r="J15" s="14" t="n">
        <v>1589689</v>
      </c>
      <c r="K15" s="16" t="n">
        <v>0.104</v>
      </c>
      <c r="L15" s="14" t="n">
        <v>2745008</v>
      </c>
      <c r="M15" s="16" t="n">
        <v>0.076</v>
      </c>
      <c r="N15" s="14" t="n">
        <v>4334697</v>
      </c>
      <c r="O15" s="5"/>
      <c r="P15" s="15"/>
      <c r="Q15" s="16" t="n">
        <v>0.367</v>
      </c>
      <c r="R15" s="16" t="n">
        <v>0.633</v>
      </c>
    </row>
    <row r="16" customFormat="false" ht="15" hidden="false" customHeight="false" outlineLevel="0" collapsed="false">
      <c r="A16" s="13" t="s">
        <v>30</v>
      </c>
      <c r="B16" s="14" t="n">
        <v>709477</v>
      </c>
      <c r="C16" s="14" t="n">
        <v>2040821</v>
      </c>
      <c r="D16" s="14" t="n">
        <v>0</v>
      </c>
      <c r="E16" s="14" t="n">
        <v>2750298</v>
      </c>
      <c r="F16" s="15"/>
      <c r="H16" s="5"/>
      <c r="I16" s="13" t="s">
        <v>20</v>
      </c>
      <c r="J16" s="14" t="n">
        <v>355978</v>
      </c>
      <c r="K16" s="16" t="n">
        <v>0.023</v>
      </c>
      <c r="L16" s="14" t="n">
        <v>0</v>
      </c>
      <c r="M16" s="16" t="n">
        <v>0</v>
      </c>
      <c r="N16" s="14" t="n">
        <v>355978</v>
      </c>
      <c r="O16" s="5"/>
      <c r="P16" s="15"/>
      <c r="Q16" s="16" t="n">
        <v>1</v>
      </c>
      <c r="R16" s="16" t="n">
        <v>0</v>
      </c>
    </row>
    <row r="17" customFormat="false" ht="15" hidden="false" customHeight="false" outlineLevel="0" collapsed="false">
      <c r="A17" s="13" t="s">
        <v>31</v>
      </c>
      <c r="B17" s="14" t="n">
        <v>226470</v>
      </c>
      <c r="C17" s="14" t="n">
        <v>584092</v>
      </c>
      <c r="D17" s="14" t="n">
        <v>0</v>
      </c>
      <c r="E17" s="14" t="n">
        <v>810562</v>
      </c>
      <c r="F17" s="15"/>
      <c r="H17" s="5"/>
      <c r="I17" s="13" t="s">
        <v>21</v>
      </c>
      <c r="J17" s="14" t="n">
        <v>6458565</v>
      </c>
      <c r="K17" s="16" t="n">
        <v>0.424</v>
      </c>
      <c r="L17" s="14" t="n">
        <v>11111482</v>
      </c>
      <c r="M17" s="16" t="n">
        <v>0.309</v>
      </c>
      <c r="N17" s="14" t="n">
        <v>17570047</v>
      </c>
      <c r="O17" s="14" t="n">
        <v>17570047</v>
      </c>
      <c r="P17" s="15" t="s">
        <v>102</v>
      </c>
      <c r="Q17" s="16" t="n">
        <v>0.368</v>
      </c>
      <c r="R17" s="16" t="n">
        <v>0.632</v>
      </c>
    </row>
    <row r="18" customFormat="false" ht="15" hidden="false" customHeight="false" outlineLevel="0" collapsed="false">
      <c r="A18" s="13" t="s">
        <v>32</v>
      </c>
      <c r="B18" s="14" t="n">
        <v>0</v>
      </c>
      <c r="C18" s="14" t="n">
        <v>0</v>
      </c>
      <c r="D18" s="14" t="n">
        <v>0</v>
      </c>
      <c r="E18" s="14" t="n">
        <v>0</v>
      </c>
      <c r="F18" s="15"/>
      <c r="H18" s="5"/>
      <c r="I18" s="13" t="s">
        <v>22</v>
      </c>
      <c r="J18" s="14" t="n">
        <v>391859</v>
      </c>
      <c r="K18" s="16" t="n">
        <v>0.026</v>
      </c>
      <c r="L18" s="14" t="n">
        <v>778141</v>
      </c>
      <c r="M18" s="16" t="n">
        <v>0.022</v>
      </c>
      <c r="N18" s="14" t="n">
        <v>1170000</v>
      </c>
      <c r="O18" s="14" t="n">
        <v>1170000</v>
      </c>
      <c r="P18" s="18" t="n">
        <v>2</v>
      </c>
      <c r="Q18" s="16" t="n">
        <v>0.335</v>
      </c>
      <c r="R18" s="16" t="n">
        <v>0.665</v>
      </c>
    </row>
    <row r="19" customFormat="false" ht="15" hidden="false" customHeight="false" outlineLevel="0" collapsed="false">
      <c r="A19" s="13" t="s">
        <v>33</v>
      </c>
      <c r="B19" s="14" t="n">
        <v>1823880</v>
      </c>
      <c r="C19" s="14" t="n">
        <v>0</v>
      </c>
      <c r="D19" s="14" t="n">
        <v>0</v>
      </c>
      <c r="E19" s="14" t="n">
        <v>1823880</v>
      </c>
      <c r="F19" s="15"/>
      <c r="H19" s="5"/>
      <c r="I19" s="13" t="s">
        <v>23</v>
      </c>
      <c r="J19" s="14" t="n">
        <v>825497</v>
      </c>
      <c r="K19" s="16" t="n">
        <v>0.054</v>
      </c>
      <c r="L19" s="14" t="n">
        <v>1639249</v>
      </c>
      <c r="M19" s="16" t="n">
        <v>0.046</v>
      </c>
      <c r="N19" s="14" t="n">
        <v>2464746</v>
      </c>
      <c r="O19" s="14" t="n">
        <v>2464746</v>
      </c>
      <c r="P19" s="18" t="n">
        <v>2</v>
      </c>
      <c r="Q19" s="16" t="n">
        <v>0.335</v>
      </c>
      <c r="R19" s="16" t="n">
        <v>0.665</v>
      </c>
    </row>
    <row r="20" customFormat="false" ht="15" hidden="false" customHeight="false" outlineLevel="0" collapsed="false">
      <c r="A20" s="13" t="s">
        <v>34</v>
      </c>
      <c r="B20" s="14" t="n">
        <v>135700</v>
      </c>
      <c r="C20" s="14" t="n">
        <v>45000</v>
      </c>
      <c r="D20" s="14" t="n">
        <v>0</v>
      </c>
      <c r="E20" s="14" t="n">
        <v>180700</v>
      </c>
      <c r="F20" s="15"/>
      <c r="H20" s="5"/>
      <c r="I20" s="13" t="s">
        <v>24</v>
      </c>
      <c r="J20" s="14" t="n">
        <v>168801</v>
      </c>
      <c r="K20" s="16" t="n">
        <v>0.011</v>
      </c>
      <c r="L20" s="14" t="n">
        <v>335199</v>
      </c>
      <c r="M20" s="16" t="n">
        <v>0.009</v>
      </c>
      <c r="N20" s="14" t="n">
        <v>504000</v>
      </c>
      <c r="O20" s="14" t="n">
        <v>504000</v>
      </c>
      <c r="P20" s="18" t="n">
        <v>2</v>
      </c>
      <c r="Q20" s="16" t="n">
        <v>0.335</v>
      </c>
      <c r="R20" s="16" t="n">
        <v>0.665</v>
      </c>
    </row>
    <row r="21" customFormat="false" ht="15" hidden="false" customHeight="false" outlineLevel="0" collapsed="false">
      <c r="A21" s="13" t="s">
        <v>35</v>
      </c>
      <c r="B21" s="14" t="n">
        <v>603000</v>
      </c>
      <c r="C21" s="14" t="n">
        <v>602954</v>
      </c>
      <c r="D21" s="14" t="n">
        <v>354620</v>
      </c>
      <c r="E21" s="14" t="n">
        <v>1560574</v>
      </c>
      <c r="F21" s="15"/>
      <c r="H21" s="5"/>
      <c r="I21" s="13" t="s">
        <v>25</v>
      </c>
      <c r="J21" s="14" t="n">
        <v>0</v>
      </c>
      <c r="K21" s="16" t="n">
        <v>0</v>
      </c>
      <c r="L21" s="14" t="n">
        <v>0</v>
      </c>
      <c r="M21" s="16" t="n">
        <v>0</v>
      </c>
      <c r="N21" s="14" t="n">
        <v>0</v>
      </c>
      <c r="O21" s="14" t="n">
        <v>0</v>
      </c>
      <c r="P21" s="18" t="n">
        <v>4</v>
      </c>
      <c r="Q21" s="22" t="s">
        <v>111</v>
      </c>
      <c r="R21" s="22" t="s">
        <v>111</v>
      </c>
    </row>
    <row r="22" customFormat="false" ht="15" hidden="false" customHeight="false" outlineLevel="0" collapsed="false">
      <c r="A22" s="13" t="s">
        <v>36</v>
      </c>
      <c r="B22" s="14" t="n">
        <v>0</v>
      </c>
      <c r="C22" s="14" t="n">
        <v>2463927</v>
      </c>
      <c r="D22" s="14" t="n">
        <v>0</v>
      </c>
      <c r="E22" s="14" t="n">
        <v>2463927</v>
      </c>
      <c r="F22" s="15"/>
      <c r="H22" s="5"/>
      <c r="I22" s="13" t="s">
        <v>26</v>
      </c>
      <c r="J22" s="14" t="n">
        <v>0</v>
      </c>
      <c r="K22" s="16" t="n">
        <v>0</v>
      </c>
      <c r="L22" s="14" t="n">
        <v>0</v>
      </c>
      <c r="M22" s="16" t="n">
        <v>0</v>
      </c>
      <c r="N22" s="14" t="n">
        <v>0</v>
      </c>
      <c r="O22" s="14" t="n">
        <v>0</v>
      </c>
      <c r="P22" s="18" t="n">
        <v>0</v>
      </c>
      <c r="Q22" s="22" t="s">
        <v>111</v>
      </c>
      <c r="R22" s="22" t="s">
        <v>111</v>
      </c>
    </row>
    <row r="23" customFormat="false" ht="15" hidden="false" customHeight="false" outlineLevel="0" collapsed="false">
      <c r="A23" s="13" t="s">
        <v>39</v>
      </c>
      <c r="B23" s="14" t="n">
        <v>251210</v>
      </c>
      <c r="C23" s="14" t="n">
        <v>331620</v>
      </c>
      <c r="D23" s="14" t="n">
        <v>903513</v>
      </c>
      <c r="E23" s="14" t="n">
        <v>1486343</v>
      </c>
      <c r="F23" s="15"/>
      <c r="H23" s="21" t="s">
        <v>27</v>
      </c>
      <c r="I23" s="9" t="s">
        <v>28</v>
      </c>
      <c r="J23" s="11" t="n">
        <v>7844721</v>
      </c>
      <c r="K23" s="19" t="n">
        <v>0.515</v>
      </c>
      <c r="L23" s="11" t="n">
        <v>13864072</v>
      </c>
      <c r="M23" s="19" t="n">
        <v>0.386</v>
      </c>
      <c r="N23" s="11" t="n">
        <v>21708793</v>
      </c>
      <c r="O23" s="11" t="n">
        <v>21708793</v>
      </c>
      <c r="P23" s="20"/>
      <c r="Q23" s="19" t="n">
        <v>0.361</v>
      </c>
      <c r="R23" s="19" t="n">
        <v>0.639</v>
      </c>
    </row>
    <row r="24" customFormat="false" ht="15" hidden="false" customHeight="false" outlineLevel="0" collapsed="false">
      <c r="A24" s="13" t="s">
        <v>112</v>
      </c>
      <c r="B24" s="14" t="n">
        <v>0</v>
      </c>
      <c r="C24" s="14" t="n">
        <v>374079</v>
      </c>
      <c r="D24" s="14" t="n">
        <v>4482</v>
      </c>
      <c r="E24" s="14" t="n">
        <v>378561</v>
      </c>
      <c r="F24" s="15"/>
      <c r="H24" s="21" t="s">
        <v>17</v>
      </c>
      <c r="I24" s="9" t="s">
        <v>29</v>
      </c>
      <c r="J24" s="11" t="n">
        <v>3579967</v>
      </c>
      <c r="K24" s="19" t="n">
        <v>0.235</v>
      </c>
      <c r="L24" s="11" t="n">
        <v>6009974</v>
      </c>
      <c r="M24" s="19" t="n">
        <v>0.167</v>
      </c>
      <c r="N24" s="11" t="n">
        <v>9589941</v>
      </c>
      <c r="O24" s="11" t="n">
        <v>9589941</v>
      </c>
      <c r="P24" s="20"/>
      <c r="Q24" s="19" t="n">
        <v>0.373</v>
      </c>
      <c r="R24" s="19" t="n">
        <v>0.627</v>
      </c>
    </row>
    <row r="25" customFormat="false" ht="15" hidden="false" customHeight="false" outlineLevel="0" collapsed="false">
      <c r="F25" s="23"/>
      <c r="H25" s="5"/>
      <c r="I25" s="13" t="s">
        <v>30</v>
      </c>
      <c r="J25" s="14" t="n">
        <v>709477</v>
      </c>
      <c r="K25" s="16" t="n">
        <v>0.047</v>
      </c>
      <c r="L25" s="14" t="n">
        <v>2040821</v>
      </c>
      <c r="M25" s="16" t="n">
        <v>0.057</v>
      </c>
      <c r="N25" s="14" t="n">
        <v>2750298</v>
      </c>
      <c r="O25" s="5"/>
      <c r="P25" s="15"/>
      <c r="Q25" s="16" t="n">
        <v>0.258</v>
      </c>
      <c r="R25" s="16" t="n">
        <v>0.742</v>
      </c>
    </row>
    <row r="26" customFormat="false" ht="15" hidden="false" customHeight="false" outlineLevel="0" collapsed="false">
      <c r="A26" s="24" t="s">
        <v>113</v>
      </c>
      <c r="B26" s="25" t="s">
        <v>92</v>
      </c>
      <c r="C26" s="25" t="s">
        <v>93</v>
      </c>
      <c r="D26" s="25" t="s">
        <v>96</v>
      </c>
      <c r="E26" s="25" t="s">
        <v>95</v>
      </c>
      <c r="F26" s="23"/>
      <c r="H26" s="5"/>
      <c r="I26" s="13" t="s">
        <v>31</v>
      </c>
      <c r="J26" s="14" t="n">
        <v>226470</v>
      </c>
      <c r="K26" s="16" t="n">
        <v>0.015</v>
      </c>
      <c r="L26" s="14" t="n">
        <v>584092</v>
      </c>
      <c r="M26" s="16" t="n">
        <v>0.016</v>
      </c>
      <c r="N26" s="14" t="n">
        <v>810562</v>
      </c>
      <c r="O26" s="5"/>
      <c r="P26" s="15"/>
      <c r="Q26" s="16" t="n">
        <v>0.279</v>
      </c>
      <c r="R26" s="16" t="n">
        <v>0.721</v>
      </c>
    </row>
    <row r="27" customFormat="false" ht="15" hidden="false" customHeight="false" outlineLevel="0" collapsed="false">
      <c r="A27" s="13" t="s">
        <v>101</v>
      </c>
      <c r="B27" s="14" t="n">
        <v>15066113</v>
      </c>
      <c r="C27" s="14" t="n">
        <v>35800894</v>
      </c>
      <c r="D27" s="14" t="n">
        <v>4</v>
      </c>
      <c r="E27" s="14" t="n">
        <v>50867007</v>
      </c>
      <c r="F27" s="23"/>
      <c r="H27" s="5"/>
      <c r="I27" s="13" t="s">
        <v>32</v>
      </c>
      <c r="J27" s="14" t="n">
        <v>0</v>
      </c>
      <c r="K27" s="16" t="n">
        <v>0</v>
      </c>
      <c r="L27" s="14" t="n">
        <v>0</v>
      </c>
      <c r="M27" s="16" t="n">
        <v>0</v>
      </c>
      <c r="N27" s="14" t="n">
        <v>0</v>
      </c>
      <c r="O27" s="5"/>
      <c r="P27" s="15"/>
      <c r="Q27" s="22" t="s">
        <v>111</v>
      </c>
      <c r="R27" s="22" t="s">
        <v>111</v>
      </c>
    </row>
    <row r="28" customFormat="false" ht="15" hidden="false" customHeight="false" outlineLevel="0" collapsed="false">
      <c r="A28" s="13" t="s">
        <v>104</v>
      </c>
      <c r="B28" s="14" t="n">
        <v>22</v>
      </c>
      <c r="C28" s="14" t="n">
        <v>44</v>
      </c>
      <c r="D28" s="14" t="n">
        <v>4</v>
      </c>
      <c r="E28" s="14" t="n">
        <v>66</v>
      </c>
      <c r="F28" s="23"/>
      <c r="H28" s="5"/>
      <c r="I28" s="13" t="s">
        <v>33</v>
      </c>
      <c r="J28" s="14" t="n">
        <v>1823880</v>
      </c>
      <c r="K28" s="16" t="n">
        <v>0.12</v>
      </c>
      <c r="L28" s="14" t="n">
        <v>0</v>
      </c>
      <c r="M28" s="16" t="n">
        <v>0</v>
      </c>
      <c r="N28" s="14" t="n">
        <v>1823880</v>
      </c>
      <c r="O28" s="5"/>
      <c r="P28" s="15"/>
      <c r="Q28" s="16" t="n">
        <v>1</v>
      </c>
      <c r="R28" s="16" t="n">
        <v>0</v>
      </c>
    </row>
    <row r="29" customFormat="false" ht="15" hidden="false" customHeight="false" outlineLevel="0" collapsed="false">
      <c r="A29" s="13" t="s">
        <v>106</v>
      </c>
      <c r="B29" s="14" t="n">
        <v>63</v>
      </c>
      <c r="C29" s="14" t="n">
        <v>112</v>
      </c>
      <c r="D29" s="14" t="n">
        <v>3</v>
      </c>
      <c r="E29" s="14" t="n">
        <v>175</v>
      </c>
      <c r="F29" s="23"/>
      <c r="H29" s="5"/>
      <c r="I29" s="13" t="s">
        <v>34</v>
      </c>
      <c r="J29" s="14" t="n">
        <v>135700</v>
      </c>
      <c r="K29" s="16" t="n">
        <v>0.009</v>
      </c>
      <c r="L29" s="14" t="n">
        <v>45000</v>
      </c>
      <c r="M29" s="16" t="n">
        <v>0.001</v>
      </c>
      <c r="N29" s="14" t="n">
        <v>180700</v>
      </c>
      <c r="O29" s="5"/>
      <c r="P29" s="15"/>
      <c r="Q29" s="16" t="n">
        <v>0.751</v>
      </c>
      <c r="R29" s="16" t="n">
        <v>0.249</v>
      </c>
    </row>
    <row r="30" customFormat="false" ht="15" hidden="false" customHeight="false" outlineLevel="0" collapsed="false">
      <c r="A30" s="13" t="s">
        <v>108</v>
      </c>
      <c r="B30" s="14" t="n">
        <v>166573</v>
      </c>
      <c r="C30" s="14" t="n">
        <v>558744</v>
      </c>
      <c r="D30" s="14" t="n">
        <v>4</v>
      </c>
      <c r="E30" s="14" t="n">
        <v>725317</v>
      </c>
      <c r="F30" s="23"/>
      <c r="H30" s="5"/>
      <c r="I30" s="13" t="s">
        <v>35</v>
      </c>
      <c r="J30" s="14" t="n">
        <v>684440</v>
      </c>
      <c r="K30" s="16" t="n">
        <v>0.045</v>
      </c>
      <c r="L30" s="14" t="n">
        <v>876134</v>
      </c>
      <c r="M30" s="16" t="n">
        <v>0.024</v>
      </c>
      <c r="N30" s="14" t="n">
        <v>1560574</v>
      </c>
      <c r="O30" s="5"/>
      <c r="P30" s="15"/>
      <c r="Q30" s="16" t="n">
        <v>0.439</v>
      </c>
      <c r="R30" s="16" t="n">
        <v>0.561</v>
      </c>
    </row>
    <row r="31" customFormat="false" ht="15" hidden="false" customHeight="false" outlineLevel="0" collapsed="false">
      <c r="A31" s="13" t="s">
        <v>19</v>
      </c>
      <c r="B31" s="14" t="n">
        <v>1589689</v>
      </c>
      <c r="C31" s="14" t="n">
        <v>2745008</v>
      </c>
      <c r="D31" s="14" t="n">
        <v>4</v>
      </c>
      <c r="E31" s="14" t="n">
        <v>4334697</v>
      </c>
      <c r="F31" s="23"/>
      <c r="H31" s="5"/>
      <c r="I31" s="13" t="s">
        <v>36</v>
      </c>
      <c r="J31" s="14" t="n">
        <v>0</v>
      </c>
      <c r="K31" s="16" t="n">
        <v>0</v>
      </c>
      <c r="L31" s="14" t="n">
        <v>2463927</v>
      </c>
      <c r="M31" s="16" t="n">
        <v>0.069</v>
      </c>
      <c r="N31" s="14" t="n">
        <v>2463927</v>
      </c>
      <c r="O31" s="5"/>
      <c r="P31" s="15"/>
      <c r="Q31" s="16" t="n">
        <v>0</v>
      </c>
      <c r="R31" s="16" t="n">
        <v>1</v>
      </c>
    </row>
    <row r="32" customFormat="false" ht="15" hidden="false" customHeight="false" outlineLevel="0" collapsed="false">
      <c r="A32" s="13" t="s">
        <v>20</v>
      </c>
      <c r="B32" s="14" t="n">
        <v>355978</v>
      </c>
      <c r="C32" s="14" t="n">
        <v>0</v>
      </c>
      <c r="D32" s="14" t="n">
        <v>4</v>
      </c>
      <c r="E32" s="14" t="n">
        <v>355978</v>
      </c>
      <c r="F32" s="23"/>
      <c r="H32" s="5" t="s">
        <v>17</v>
      </c>
      <c r="I32" s="13" t="s">
        <v>37</v>
      </c>
      <c r="J32" s="14" t="n">
        <v>303077</v>
      </c>
      <c r="K32" s="16" t="n">
        <v>0.02</v>
      </c>
      <c r="L32" s="14" t="n">
        <v>1016625</v>
      </c>
      <c r="M32" s="16" t="n">
        <v>0.028</v>
      </c>
      <c r="N32" s="14" t="n">
        <v>1319702</v>
      </c>
      <c r="O32" s="14" t="n">
        <v>1319702</v>
      </c>
      <c r="P32" s="18" t="n">
        <v>4</v>
      </c>
      <c r="Q32" s="16" t="n">
        <v>0.23</v>
      </c>
      <c r="R32" s="16" t="n">
        <v>0.77</v>
      </c>
    </row>
    <row r="33" customFormat="false" ht="15" hidden="false" customHeight="false" outlineLevel="0" collapsed="false">
      <c r="A33" s="13" t="s">
        <v>110</v>
      </c>
      <c r="B33" s="14" t="n">
        <v>6458565</v>
      </c>
      <c r="C33" s="14" t="n">
        <v>11111482</v>
      </c>
      <c r="D33" s="14" t="n">
        <v>4</v>
      </c>
      <c r="E33" s="14" t="n">
        <v>17570047</v>
      </c>
      <c r="F33" s="23"/>
      <c r="H33" s="5" t="s">
        <v>27</v>
      </c>
      <c r="I33" s="13" t="s">
        <v>38</v>
      </c>
      <c r="J33" s="14" t="n">
        <v>144473</v>
      </c>
      <c r="K33" s="16" t="n">
        <v>0.009</v>
      </c>
      <c r="L33" s="14" t="n">
        <v>144473</v>
      </c>
      <c r="M33" s="16" t="n">
        <v>0.004</v>
      </c>
      <c r="N33" s="14" t="n">
        <v>288946</v>
      </c>
      <c r="O33" s="14" t="n">
        <v>288946</v>
      </c>
      <c r="P33" s="18" t="n">
        <v>0</v>
      </c>
      <c r="Q33" s="16" t="n">
        <v>0.5</v>
      </c>
      <c r="R33" s="16" t="n">
        <v>0.5</v>
      </c>
    </row>
    <row r="34" customFormat="false" ht="15" hidden="false" customHeight="false" outlineLevel="0" collapsed="false">
      <c r="A34" s="13" t="s">
        <v>30</v>
      </c>
      <c r="B34" s="14" t="n">
        <v>709477</v>
      </c>
      <c r="C34" s="14" t="n">
        <v>2040821</v>
      </c>
      <c r="D34" s="14" t="n">
        <v>4</v>
      </c>
      <c r="E34" s="14" t="n">
        <v>2750298</v>
      </c>
      <c r="F34" s="23"/>
      <c r="H34" s="5" t="s">
        <v>17</v>
      </c>
      <c r="I34" s="13" t="s">
        <v>39</v>
      </c>
      <c r="J34" s="14" t="n">
        <v>458707</v>
      </c>
      <c r="K34" s="16" t="n">
        <v>0.03</v>
      </c>
      <c r="L34" s="14" t="n">
        <v>1027636</v>
      </c>
      <c r="M34" s="16" t="n">
        <v>0.029</v>
      </c>
      <c r="N34" s="14" t="n">
        <v>1486343</v>
      </c>
      <c r="O34" s="14" t="n">
        <v>1486343</v>
      </c>
      <c r="P34" s="15" t="s">
        <v>102</v>
      </c>
      <c r="Q34" s="16" t="n">
        <v>0.309</v>
      </c>
      <c r="R34" s="16" t="n">
        <v>0.691</v>
      </c>
    </row>
    <row r="35" customFormat="false" ht="15" hidden="false" customHeight="false" outlineLevel="0" collapsed="false">
      <c r="A35" s="13" t="s">
        <v>31</v>
      </c>
      <c r="B35" s="14" t="n">
        <v>226470</v>
      </c>
      <c r="C35" s="14" t="n">
        <v>584092</v>
      </c>
      <c r="D35" s="14" t="n">
        <v>4</v>
      </c>
      <c r="E35" s="14" t="n">
        <v>810562</v>
      </c>
      <c r="F35" s="23"/>
      <c r="H35" s="5" t="s">
        <v>27</v>
      </c>
      <c r="I35" s="13" t="s">
        <v>40</v>
      </c>
      <c r="J35" s="14" t="n">
        <v>2549697</v>
      </c>
      <c r="K35" s="16" t="n">
        <v>0.167</v>
      </c>
      <c r="L35" s="14" t="n">
        <v>5042546</v>
      </c>
      <c r="M35" s="16" t="n">
        <v>0.14</v>
      </c>
      <c r="N35" s="14" t="n">
        <v>7592243</v>
      </c>
      <c r="O35" s="14" t="n">
        <v>0</v>
      </c>
      <c r="P35" s="15" t="s">
        <v>102</v>
      </c>
      <c r="Q35" s="16" t="n">
        <v>0.336</v>
      </c>
      <c r="R35" s="16" t="n">
        <v>0.664</v>
      </c>
    </row>
    <row r="36" customFormat="false" ht="15" hidden="false" customHeight="false" outlineLevel="0" collapsed="false">
      <c r="A36" s="13" t="s">
        <v>32</v>
      </c>
      <c r="B36" s="14" t="n">
        <v>0</v>
      </c>
      <c r="C36" s="14" t="n">
        <v>0</v>
      </c>
      <c r="D36" s="14" t="n">
        <v>4</v>
      </c>
      <c r="E36" s="14" t="n">
        <v>0</v>
      </c>
      <c r="F36" s="23"/>
      <c r="H36" s="5" t="s">
        <v>17</v>
      </c>
      <c r="I36" s="13" t="s">
        <v>41</v>
      </c>
      <c r="J36" s="14" t="n">
        <v>143629</v>
      </c>
      <c r="K36" s="16" t="n">
        <v>0.009</v>
      </c>
      <c r="L36" s="14" t="n">
        <v>481781</v>
      </c>
      <c r="M36" s="16" t="n">
        <v>0.013</v>
      </c>
      <c r="N36" s="14" t="n">
        <v>625410</v>
      </c>
      <c r="O36" s="14" t="n">
        <v>625410</v>
      </c>
      <c r="P36" s="18" t="n">
        <v>4</v>
      </c>
      <c r="Q36" s="16" t="n">
        <v>0.23</v>
      </c>
      <c r="R36" s="16" t="n">
        <v>0.77</v>
      </c>
    </row>
    <row r="37" customFormat="false" ht="15" hidden="false" customHeight="false" outlineLevel="0" collapsed="false">
      <c r="A37" s="13" t="s">
        <v>33</v>
      </c>
      <c r="B37" s="14" t="n">
        <v>1823880</v>
      </c>
      <c r="C37" s="14" t="n">
        <v>0</v>
      </c>
      <c r="D37" s="14" t="n">
        <v>4</v>
      </c>
      <c r="E37" s="14" t="n">
        <v>1823880</v>
      </c>
      <c r="F37" s="23"/>
      <c r="H37" s="5" t="s">
        <v>27</v>
      </c>
      <c r="I37" s="13" t="s">
        <v>42</v>
      </c>
      <c r="J37" s="14" t="n">
        <v>26657</v>
      </c>
      <c r="K37" s="16" t="n">
        <v>0.002</v>
      </c>
      <c r="L37" s="14" t="n">
        <v>89416</v>
      </c>
      <c r="M37" s="16" t="n">
        <v>0.002</v>
      </c>
      <c r="N37" s="14" t="n">
        <v>116073</v>
      </c>
      <c r="O37" s="14" t="n">
        <v>116073</v>
      </c>
      <c r="P37" s="18" t="n">
        <v>4</v>
      </c>
      <c r="Q37" s="16" t="n">
        <v>0.23</v>
      </c>
      <c r="R37" s="16" t="n">
        <v>0.77</v>
      </c>
    </row>
    <row r="38" customFormat="false" ht="15" hidden="false" customHeight="false" outlineLevel="0" collapsed="false">
      <c r="A38" s="13" t="s">
        <v>34</v>
      </c>
      <c r="B38" s="14" t="n">
        <v>135700</v>
      </c>
      <c r="C38" s="14" t="n">
        <v>45000</v>
      </c>
      <c r="D38" s="14" t="n">
        <v>4</v>
      </c>
      <c r="E38" s="14" t="n">
        <v>180700</v>
      </c>
      <c r="F38" s="23"/>
      <c r="H38" s="5" t="s">
        <v>27</v>
      </c>
      <c r="I38" s="13" t="s">
        <v>43</v>
      </c>
      <c r="J38" s="14" t="n">
        <v>31795</v>
      </c>
      <c r="K38" s="16" t="n">
        <v>0.002</v>
      </c>
      <c r="L38" s="14" t="n">
        <v>106652</v>
      </c>
      <c r="M38" s="16" t="n">
        <v>0.003</v>
      </c>
      <c r="N38" s="14" t="n">
        <v>138447</v>
      </c>
      <c r="O38" s="14" t="n">
        <v>138447</v>
      </c>
      <c r="P38" s="18" t="n">
        <v>4</v>
      </c>
      <c r="Q38" s="16" t="n">
        <v>0.23</v>
      </c>
      <c r="R38" s="16" t="n">
        <v>0.77</v>
      </c>
    </row>
    <row r="39" customFormat="false" ht="15" hidden="false" customHeight="false" outlineLevel="0" collapsed="false">
      <c r="A39" s="13" t="s">
        <v>35</v>
      </c>
      <c r="B39" s="14" t="n">
        <v>684440</v>
      </c>
      <c r="C39" s="14" t="n">
        <v>876134</v>
      </c>
      <c r="D39" s="14" t="n">
        <v>4</v>
      </c>
      <c r="E39" s="14" t="n">
        <v>1560574</v>
      </c>
      <c r="F39" s="23"/>
      <c r="H39" s="5" t="s">
        <v>27</v>
      </c>
      <c r="I39" s="13" t="s">
        <v>44</v>
      </c>
      <c r="J39" s="14" t="n">
        <v>0</v>
      </c>
      <c r="K39" s="16" t="n">
        <v>0</v>
      </c>
      <c r="L39" s="14" t="n">
        <v>0</v>
      </c>
      <c r="M39" s="16" t="n">
        <v>0</v>
      </c>
      <c r="N39" s="14" t="n">
        <v>0</v>
      </c>
      <c r="O39" s="14" t="n">
        <v>0</v>
      </c>
      <c r="P39" s="18" t="n">
        <v>1</v>
      </c>
      <c r="Q39" s="22" t="s">
        <v>111</v>
      </c>
      <c r="R39" s="22" t="s">
        <v>111</v>
      </c>
    </row>
    <row r="40" customFormat="false" ht="15" hidden="false" customHeight="false" outlineLevel="0" collapsed="false">
      <c r="A40" s="13" t="s">
        <v>36</v>
      </c>
      <c r="B40" s="14" t="n">
        <v>0</v>
      </c>
      <c r="C40" s="14" t="n">
        <v>2463927</v>
      </c>
      <c r="D40" s="14" t="n">
        <v>4</v>
      </c>
      <c r="E40" s="14" t="n">
        <v>2463927</v>
      </c>
      <c r="F40" s="23"/>
      <c r="H40" s="5" t="s">
        <v>17</v>
      </c>
      <c r="I40" s="13" t="s">
        <v>45</v>
      </c>
      <c r="J40" s="14" t="n">
        <v>57555</v>
      </c>
      <c r="K40" s="16" t="n">
        <v>0.004</v>
      </c>
      <c r="L40" s="14" t="n">
        <v>193060</v>
      </c>
      <c r="M40" s="16" t="n">
        <v>0.005</v>
      </c>
      <c r="N40" s="14" t="n">
        <v>250615</v>
      </c>
      <c r="O40" s="14" t="n">
        <v>250615</v>
      </c>
      <c r="P40" s="18" t="n">
        <v>4</v>
      </c>
      <c r="Q40" s="16" t="n">
        <v>0.23</v>
      </c>
      <c r="R40" s="16" t="n">
        <v>0.77</v>
      </c>
    </row>
    <row r="41" customFormat="false" ht="15" hidden="false" customHeight="false" outlineLevel="0" collapsed="false">
      <c r="A41" s="13" t="s">
        <v>39</v>
      </c>
      <c r="B41" s="14" t="n">
        <v>458707</v>
      </c>
      <c r="C41" s="14" t="n">
        <v>1027636</v>
      </c>
      <c r="D41" s="14" t="n">
        <v>4</v>
      </c>
      <c r="E41" s="14" t="n">
        <v>1486343</v>
      </c>
      <c r="F41" s="23"/>
      <c r="H41" s="5" t="s">
        <v>17</v>
      </c>
      <c r="I41" s="13" t="s">
        <v>46</v>
      </c>
      <c r="J41" s="14" t="n">
        <v>22391</v>
      </c>
      <c r="K41" s="16" t="n">
        <v>0.001</v>
      </c>
      <c r="L41" s="14" t="n">
        <v>75109</v>
      </c>
      <c r="M41" s="16" t="n">
        <v>0.002</v>
      </c>
      <c r="N41" s="14" t="n">
        <v>97500</v>
      </c>
      <c r="O41" s="14" t="n">
        <v>97500</v>
      </c>
      <c r="P41" s="18" t="n">
        <v>4</v>
      </c>
      <c r="Q41" s="16" t="n">
        <v>0.23</v>
      </c>
      <c r="R41" s="16" t="n">
        <v>0.77</v>
      </c>
    </row>
    <row r="42" customFormat="false" ht="15" hidden="false" customHeight="false" outlineLevel="0" collapsed="false">
      <c r="A42" s="13" t="s">
        <v>112</v>
      </c>
      <c r="B42" s="14" t="n">
        <v>1029</v>
      </c>
      <c r="C42" s="14" t="n">
        <v>377532</v>
      </c>
      <c r="D42" s="14" t="n">
        <v>4</v>
      </c>
      <c r="E42" s="14" t="n">
        <v>378561</v>
      </c>
      <c r="F42" s="23"/>
      <c r="H42" s="5" t="s">
        <v>17</v>
      </c>
      <c r="I42" s="13" t="s">
        <v>47</v>
      </c>
      <c r="J42" s="14" t="n">
        <v>88681</v>
      </c>
      <c r="K42" s="16" t="n">
        <v>0.006</v>
      </c>
      <c r="L42" s="14" t="n">
        <v>297465</v>
      </c>
      <c r="M42" s="16" t="n">
        <v>0.008</v>
      </c>
      <c r="N42" s="14" t="n">
        <v>386146</v>
      </c>
      <c r="O42" s="14" t="n">
        <v>386146</v>
      </c>
      <c r="P42" s="18" t="n">
        <v>4</v>
      </c>
      <c r="Q42" s="16" t="n">
        <v>0.23</v>
      </c>
      <c r="R42" s="16" t="n">
        <v>0.77</v>
      </c>
    </row>
    <row r="43" customFormat="false" ht="15" hidden="false" customHeight="false" outlineLevel="0" collapsed="false">
      <c r="F43" s="23"/>
      <c r="H43" s="5" t="s">
        <v>27</v>
      </c>
      <c r="I43" s="13" t="s">
        <v>48</v>
      </c>
      <c r="J43" s="14" t="n">
        <v>113716</v>
      </c>
      <c r="K43" s="16" t="n">
        <v>0.007</v>
      </c>
      <c r="L43" s="14" t="n">
        <v>113716</v>
      </c>
      <c r="M43" s="16" t="n">
        <v>0.003</v>
      </c>
      <c r="N43" s="14" t="n">
        <v>227432</v>
      </c>
      <c r="O43" s="14" t="n">
        <v>227432</v>
      </c>
      <c r="P43" s="18" t="n">
        <v>0</v>
      </c>
      <c r="Q43" s="16" t="n">
        <v>0.5</v>
      </c>
      <c r="R43" s="16" t="n">
        <v>0.5</v>
      </c>
    </row>
    <row r="44" customFormat="false" ht="15" hidden="false" customHeight="false" outlineLevel="0" collapsed="false">
      <c r="A44" s="26" t="s">
        <v>114</v>
      </c>
      <c r="B44" s="27" t="s">
        <v>92</v>
      </c>
      <c r="C44" s="27" t="s">
        <v>93</v>
      </c>
      <c r="D44" s="27" t="s">
        <v>95</v>
      </c>
      <c r="E44" s="27" t="s">
        <v>96</v>
      </c>
      <c r="F44" s="23"/>
      <c r="H44" s="5" t="s">
        <v>27</v>
      </c>
      <c r="I44" s="13" t="s">
        <v>49</v>
      </c>
      <c r="J44" s="14" t="n">
        <v>151950</v>
      </c>
      <c r="K44" s="16" t="n">
        <v>0.01</v>
      </c>
      <c r="L44" s="14" t="n">
        <v>151950</v>
      </c>
      <c r="M44" s="16" t="n">
        <v>0.004</v>
      </c>
      <c r="N44" s="14" t="n">
        <v>303900</v>
      </c>
      <c r="O44" s="14" t="n">
        <v>303900</v>
      </c>
      <c r="P44" s="18" t="n">
        <v>0</v>
      </c>
      <c r="Q44" s="16" t="n">
        <v>0.5</v>
      </c>
      <c r="R44" s="16" t="n">
        <v>0.5</v>
      </c>
    </row>
    <row r="45" customFormat="false" ht="15" hidden="false" customHeight="false" outlineLevel="0" collapsed="false">
      <c r="A45" s="13" t="s">
        <v>101</v>
      </c>
      <c r="B45" s="17" t="n">
        <v>0.2962</v>
      </c>
      <c r="C45" s="17" t="n">
        <v>0.7038</v>
      </c>
      <c r="D45" s="17" t="n">
        <v>1</v>
      </c>
      <c r="E45" s="14" t="n">
        <v>1</v>
      </c>
      <c r="F45" s="23"/>
      <c r="H45" s="21"/>
      <c r="I45" s="9" t="s">
        <v>50</v>
      </c>
      <c r="J45" s="11" t="n">
        <v>4092327</v>
      </c>
      <c r="K45" s="19" t="n">
        <v>0.269</v>
      </c>
      <c r="L45" s="11" t="n">
        <v>8740430</v>
      </c>
      <c r="M45" s="19" t="n">
        <v>0.243</v>
      </c>
      <c r="N45" s="11" t="n">
        <v>12832757</v>
      </c>
      <c r="O45" s="11" t="n">
        <v>5240514</v>
      </c>
      <c r="P45" s="20"/>
      <c r="Q45" s="19" t="n">
        <v>0.319</v>
      </c>
      <c r="R45" s="19" t="n">
        <v>0.681</v>
      </c>
    </row>
    <row r="46" customFormat="false" ht="15" hidden="false" customHeight="false" outlineLevel="0" collapsed="false">
      <c r="A46" s="13" t="s">
        <v>104</v>
      </c>
      <c r="B46" s="17" t="n">
        <v>0.3349</v>
      </c>
      <c r="C46" s="17" t="n">
        <v>0.6651</v>
      </c>
      <c r="D46" s="17" t="n">
        <v>1</v>
      </c>
      <c r="E46" s="14" t="n">
        <v>2</v>
      </c>
      <c r="F46" s="23"/>
      <c r="H46" s="21"/>
      <c r="I46" s="9" t="s">
        <v>51</v>
      </c>
      <c r="J46" s="11" t="n">
        <v>17462683</v>
      </c>
      <c r="K46" s="19" t="n">
        <v>1.147</v>
      </c>
      <c r="L46" s="11" t="n">
        <v>31359483</v>
      </c>
      <c r="M46" s="19" t="n">
        <v>0.872</v>
      </c>
      <c r="N46" s="11" t="n">
        <v>48822166</v>
      </c>
      <c r="O46" s="11" t="n">
        <v>41229923</v>
      </c>
      <c r="P46" s="20"/>
      <c r="Q46" s="19" t="n">
        <v>0.358</v>
      </c>
      <c r="R46" s="19" t="n">
        <v>0.642</v>
      </c>
    </row>
    <row r="47" customFormat="false" ht="15" hidden="false" customHeight="false" outlineLevel="0" collapsed="false">
      <c r="A47" s="13" t="s">
        <v>106</v>
      </c>
      <c r="B47" s="17" t="n">
        <v>0.36</v>
      </c>
      <c r="C47" s="17" t="n">
        <v>0.64</v>
      </c>
      <c r="D47" s="17" t="n">
        <v>1</v>
      </c>
      <c r="E47" s="14" t="n">
        <v>3</v>
      </c>
      <c r="F47" s="23"/>
      <c r="P47" s="23"/>
    </row>
    <row r="48" customFormat="false" ht="15" hidden="false" customHeight="false" outlineLevel="0" collapsed="false">
      <c r="A48" s="13" t="s">
        <v>108</v>
      </c>
      <c r="B48" s="17" t="n">
        <v>0.2297</v>
      </c>
      <c r="C48" s="17" t="n">
        <v>0.7703</v>
      </c>
      <c r="D48" s="17" t="n">
        <v>1</v>
      </c>
      <c r="E48" s="14" t="n">
        <v>4</v>
      </c>
      <c r="F48" s="23"/>
      <c r="H48" s="12"/>
      <c r="I48" s="12" t="s">
        <v>2</v>
      </c>
      <c r="J48" s="12" t="s">
        <v>92</v>
      </c>
      <c r="K48" s="12" t="s">
        <v>97</v>
      </c>
      <c r="L48" s="12" t="s">
        <v>93</v>
      </c>
      <c r="M48" s="12" t="s">
        <v>97</v>
      </c>
      <c r="N48" s="12" t="s">
        <v>98</v>
      </c>
      <c r="O48" s="12" t="s">
        <v>95</v>
      </c>
      <c r="P48" s="12" t="s">
        <v>96</v>
      </c>
      <c r="Q48" s="12" t="s">
        <v>99</v>
      </c>
      <c r="R48" s="12" t="s">
        <v>100</v>
      </c>
    </row>
    <row r="49" customFormat="false" ht="15" hidden="false" customHeight="false" outlineLevel="0" collapsed="false">
      <c r="A49" s="13" t="s">
        <v>19</v>
      </c>
      <c r="B49" s="17" t="n">
        <v>0.3667</v>
      </c>
      <c r="C49" s="17" t="n">
        <v>0.6333</v>
      </c>
      <c r="D49" s="17" t="n">
        <v>1</v>
      </c>
      <c r="E49" s="5"/>
      <c r="F49" s="23"/>
      <c r="H49" s="21"/>
      <c r="I49" s="9" t="s">
        <v>52</v>
      </c>
      <c r="J49" s="11" t="n">
        <v>17462683</v>
      </c>
      <c r="K49" s="19" t="n">
        <v>1.147</v>
      </c>
      <c r="L49" s="11" t="n">
        <v>31359483</v>
      </c>
      <c r="M49" s="19" t="n">
        <v>0.872</v>
      </c>
      <c r="N49" s="11" t="n">
        <v>48822166</v>
      </c>
      <c r="O49" s="11" t="n">
        <v>41229923</v>
      </c>
      <c r="P49" s="20" t="s">
        <v>102</v>
      </c>
      <c r="Q49" s="19" t="n">
        <v>0.358</v>
      </c>
      <c r="R49" s="19" t="n">
        <v>0.642</v>
      </c>
    </row>
    <row r="50" customFormat="false" ht="15" hidden="false" customHeight="false" outlineLevel="0" collapsed="false">
      <c r="A50" s="13" t="s">
        <v>20</v>
      </c>
      <c r="B50" s="17" t="n">
        <v>1</v>
      </c>
      <c r="C50" s="17" t="n">
        <v>0</v>
      </c>
      <c r="D50" s="17" t="n">
        <v>1</v>
      </c>
      <c r="E50" s="5"/>
      <c r="F50" s="23"/>
      <c r="H50" s="21"/>
      <c r="I50" s="9" t="s">
        <v>53</v>
      </c>
      <c r="J50" s="28" t="n">
        <v>-2238110</v>
      </c>
      <c r="K50" s="29" t="n">
        <v>-0.147</v>
      </c>
      <c r="L50" s="11" t="n">
        <v>4598861</v>
      </c>
      <c r="M50" s="19" t="n">
        <v>0.128</v>
      </c>
      <c r="N50" s="11" t="n">
        <v>2360750</v>
      </c>
      <c r="O50" s="11" t="n">
        <v>9952993</v>
      </c>
      <c r="P50" s="20"/>
      <c r="Q50" s="29" t="n">
        <v>-0.948</v>
      </c>
      <c r="R50" s="19" t="n">
        <v>1.948</v>
      </c>
    </row>
    <row r="51" customFormat="false" ht="15" hidden="false" customHeight="false" outlineLevel="0" collapsed="false">
      <c r="A51" s="13" t="s">
        <v>110</v>
      </c>
      <c r="B51" s="17" t="n">
        <v>0.3676</v>
      </c>
      <c r="C51" s="17" t="n">
        <v>0.6324</v>
      </c>
      <c r="D51" s="17" t="n">
        <v>1</v>
      </c>
      <c r="E51" s="5"/>
      <c r="F51" s="23"/>
      <c r="H51" s="5"/>
      <c r="I51" s="13" t="s">
        <v>54</v>
      </c>
      <c r="J51" s="14" t="n">
        <v>1477526</v>
      </c>
      <c r="K51" s="16" t="n">
        <v>0.097</v>
      </c>
      <c r="L51" s="14" t="n">
        <v>1477526</v>
      </c>
      <c r="M51" s="16" t="n">
        <v>0.041</v>
      </c>
      <c r="N51" s="14" t="n">
        <v>2955052</v>
      </c>
      <c r="O51" s="14" t="n">
        <v>2955052</v>
      </c>
      <c r="P51" s="18" t="n">
        <v>0</v>
      </c>
      <c r="Q51" s="16" t="n">
        <v>0.5</v>
      </c>
      <c r="R51" s="16" t="n">
        <v>0.5</v>
      </c>
    </row>
    <row r="52" customFormat="false" ht="15" hidden="false" customHeight="false" outlineLevel="0" collapsed="false">
      <c r="A52" s="13" t="s">
        <v>30</v>
      </c>
      <c r="B52" s="17" t="n">
        <v>0.258</v>
      </c>
      <c r="C52" s="17" t="n">
        <v>0.742</v>
      </c>
      <c r="D52" s="17" t="n">
        <v>1</v>
      </c>
      <c r="E52" s="5"/>
      <c r="F52" s="23"/>
      <c r="H52" s="5"/>
      <c r="I52" s="13" t="s">
        <v>55</v>
      </c>
      <c r="J52" s="14" t="n">
        <v>1470904</v>
      </c>
      <c r="K52" s="16" t="n">
        <v>0.097</v>
      </c>
      <c r="L52" s="14" t="n">
        <v>2614940</v>
      </c>
      <c r="M52" s="16" t="n">
        <v>0.073</v>
      </c>
      <c r="N52" s="14" t="n">
        <v>4085844</v>
      </c>
      <c r="O52" s="14" t="n">
        <v>4085844</v>
      </c>
      <c r="P52" s="18" t="n">
        <v>3</v>
      </c>
      <c r="Q52" s="16" t="n">
        <v>0.36</v>
      </c>
      <c r="R52" s="16" t="n">
        <v>0.64</v>
      </c>
    </row>
    <row r="53" customFormat="false" ht="15" hidden="false" customHeight="false" outlineLevel="0" collapsed="false">
      <c r="A53" s="13" t="s">
        <v>31</v>
      </c>
      <c r="B53" s="17" t="n">
        <v>0.2794</v>
      </c>
      <c r="C53" s="17" t="n">
        <v>0.7206</v>
      </c>
      <c r="D53" s="17" t="n">
        <v>1</v>
      </c>
      <c r="E53" s="5"/>
      <c r="F53" s="23"/>
      <c r="H53" s="5"/>
      <c r="I53" s="13" t="s">
        <v>23</v>
      </c>
      <c r="J53" s="14" t="n">
        <v>341752</v>
      </c>
      <c r="K53" s="16" t="n">
        <v>0.022</v>
      </c>
      <c r="L53" s="14" t="n">
        <v>607558</v>
      </c>
      <c r="M53" s="16" t="n">
        <v>0.017</v>
      </c>
      <c r="N53" s="14" t="n">
        <v>949310</v>
      </c>
      <c r="O53" s="14" t="n">
        <v>949310</v>
      </c>
      <c r="P53" s="18" t="n">
        <v>3</v>
      </c>
      <c r="Q53" s="16" t="n">
        <v>0.36</v>
      </c>
      <c r="R53" s="16" t="n">
        <v>0.64</v>
      </c>
    </row>
    <row r="54" customFormat="false" ht="15" hidden="false" customHeight="false" outlineLevel="0" collapsed="false">
      <c r="A54" s="13" t="s">
        <v>32</v>
      </c>
      <c r="B54" s="22" t="s">
        <v>111</v>
      </c>
      <c r="C54" s="22" t="s">
        <v>111</v>
      </c>
      <c r="D54" s="22" t="s">
        <v>111</v>
      </c>
      <c r="E54" s="5"/>
      <c r="F54" s="23"/>
      <c r="H54" s="5"/>
      <c r="I54" s="13" t="s">
        <v>24</v>
      </c>
      <c r="J54" s="14" t="n">
        <v>4882</v>
      </c>
      <c r="K54" s="16" t="n">
        <v>0</v>
      </c>
      <c r="L54" s="14" t="n">
        <v>8679</v>
      </c>
      <c r="M54" s="16" t="n">
        <v>0</v>
      </c>
      <c r="N54" s="14" t="n">
        <v>13561</v>
      </c>
      <c r="O54" s="14" t="n">
        <v>13561</v>
      </c>
      <c r="P54" s="18" t="n">
        <v>3</v>
      </c>
      <c r="Q54" s="16" t="n">
        <v>0.36</v>
      </c>
      <c r="R54" s="16" t="n">
        <v>0.64</v>
      </c>
    </row>
    <row r="55" customFormat="false" ht="15" hidden="false" customHeight="false" outlineLevel="0" collapsed="false">
      <c r="A55" s="13" t="s">
        <v>33</v>
      </c>
      <c r="B55" s="17" t="n">
        <v>1</v>
      </c>
      <c r="C55" s="17" t="n">
        <v>0</v>
      </c>
      <c r="D55" s="17" t="n">
        <v>1</v>
      </c>
      <c r="E55" s="5"/>
      <c r="F55" s="23"/>
      <c r="H55" s="5"/>
      <c r="I55" s="13" t="s">
        <v>56</v>
      </c>
      <c r="J55" s="14" t="n">
        <v>25030</v>
      </c>
      <c r="K55" s="16" t="n">
        <v>0.002</v>
      </c>
      <c r="L55" s="14" t="n">
        <v>25030</v>
      </c>
      <c r="M55" s="16" t="n">
        <v>0.001</v>
      </c>
      <c r="N55" s="14" t="n">
        <v>50060</v>
      </c>
      <c r="O55" s="14" t="n">
        <v>50060</v>
      </c>
      <c r="P55" s="18" t="n">
        <v>0</v>
      </c>
      <c r="Q55" s="16" t="n">
        <v>0.5</v>
      </c>
      <c r="R55" s="16" t="n">
        <v>0.5</v>
      </c>
    </row>
    <row r="56" customFormat="false" ht="15" hidden="false" customHeight="false" outlineLevel="0" collapsed="false">
      <c r="A56" s="13" t="s">
        <v>34</v>
      </c>
      <c r="B56" s="17" t="n">
        <v>0.751</v>
      </c>
      <c r="C56" s="17" t="n">
        <v>0.249</v>
      </c>
      <c r="D56" s="17" t="n">
        <v>1</v>
      </c>
      <c r="E56" s="5"/>
      <c r="F56" s="23"/>
      <c r="H56" s="5"/>
      <c r="I56" s="13" t="s">
        <v>57</v>
      </c>
      <c r="J56" s="14" t="n">
        <v>58409</v>
      </c>
      <c r="K56" s="16" t="n">
        <v>0.004</v>
      </c>
      <c r="L56" s="14" t="n">
        <v>103837</v>
      </c>
      <c r="M56" s="16" t="n">
        <v>0.003</v>
      </c>
      <c r="N56" s="14" t="n">
        <v>162246</v>
      </c>
      <c r="O56" s="14" t="n">
        <v>162246</v>
      </c>
      <c r="P56" s="18" t="n">
        <v>3</v>
      </c>
      <c r="Q56" s="16" t="n">
        <v>0.36</v>
      </c>
      <c r="R56" s="16" t="n">
        <v>0.64</v>
      </c>
    </row>
    <row r="57" customFormat="false" ht="15" hidden="false" customHeight="false" outlineLevel="0" collapsed="false">
      <c r="A57" s="13" t="s">
        <v>35</v>
      </c>
      <c r="B57" s="17" t="n">
        <v>0.4386</v>
      </c>
      <c r="C57" s="17" t="n">
        <v>0.5614</v>
      </c>
      <c r="D57" s="17" t="n">
        <v>1</v>
      </c>
      <c r="E57" s="5"/>
      <c r="F57" s="23"/>
      <c r="H57" s="5"/>
      <c r="I57" s="13" t="s">
        <v>58</v>
      </c>
      <c r="J57" s="14" t="n">
        <v>0</v>
      </c>
      <c r="K57" s="16" t="n">
        <v>0</v>
      </c>
      <c r="L57" s="14" t="n">
        <v>0</v>
      </c>
      <c r="M57" s="16" t="n">
        <v>0</v>
      </c>
      <c r="N57" s="14" t="n">
        <v>0</v>
      </c>
      <c r="O57" s="14" t="n">
        <v>0</v>
      </c>
      <c r="P57" s="18" t="n">
        <v>0</v>
      </c>
      <c r="Q57" s="22" t="s">
        <v>111</v>
      </c>
      <c r="R57" s="22" t="s">
        <v>111</v>
      </c>
    </row>
    <row r="58" customFormat="false" ht="15" hidden="false" customHeight="false" outlineLevel="0" collapsed="false">
      <c r="A58" s="13" t="s">
        <v>36</v>
      </c>
      <c r="B58" s="17" t="n">
        <v>0</v>
      </c>
      <c r="C58" s="17" t="n">
        <v>1</v>
      </c>
      <c r="D58" s="17" t="n">
        <v>1</v>
      </c>
      <c r="E58" s="5"/>
      <c r="F58" s="23"/>
      <c r="H58" s="5"/>
      <c r="I58" s="13" t="s">
        <v>59</v>
      </c>
      <c r="J58" s="14" t="n">
        <v>0</v>
      </c>
      <c r="K58" s="16" t="n">
        <v>0</v>
      </c>
      <c r="L58" s="14" t="n">
        <v>0</v>
      </c>
      <c r="M58" s="16" t="n">
        <v>0</v>
      </c>
      <c r="N58" s="14" t="n">
        <v>0</v>
      </c>
      <c r="O58" s="14" t="n">
        <v>0</v>
      </c>
      <c r="P58" s="18" t="n">
        <v>1</v>
      </c>
      <c r="Q58" s="22" t="s">
        <v>111</v>
      </c>
      <c r="R58" s="22" t="s">
        <v>111</v>
      </c>
    </row>
    <row r="59" customFormat="false" ht="15" hidden="false" customHeight="false" outlineLevel="0" collapsed="false">
      <c r="A59" s="13" t="s">
        <v>39</v>
      </c>
      <c r="B59" s="17" t="n">
        <v>0.3086</v>
      </c>
      <c r="C59" s="17" t="n">
        <v>0.6914</v>
      </c>
      <c r="D59" s="17" t="n">
        <v>1</v>
      </c>
      <c r="E59" s="5"/>
      <c r="F59" s="23"/>
      <c r="H59" s="5"/>
      <c r="I59" s="13" t="s">
        <v>60</v>
      </c>
      <c r="J59" s="14" t="n">
        <v>0</v>
      </c>
      <c r="K59" s="16" t="n">
        <v>0</v>
      </c>
      <c r="L59" s="14" t="n">
        <v>0</v>
      </c>
      <c r="M59" s="16" t="n">
        <v>0</v>
      </c>
      <c r="N59" s="14" t="n">
        <v>0</v>
      </c>
      <c r="O59" s="14" t="n">
        <v>0</v>
      </c>
      <c r="P59" s="18" t="n">
        <v>0</v>
      </c>
      <c r="Q59" s="22" t="s">
        <v>111</v>
      </c>
      <c r="R59" s="22" t="s">
        <v>111</v>
      </c>
    </row>
    <row r="60" customFormat="false" ht="15" hidden="false" customHeight="false" outlineLevel="0" collapsed="false">
      <c r="A60" s="13" t="s">
        <v>112</v>
      </c>
      <c r="B60" s="17" t="n">
        <v>0.0027</v>
      </c>
      <c r="C60" s="17" t="n">
        <v>0.9973</v>
      </c>
      <c r="D60" s="17" t="n">
        <v>1</v>
      </c>
      <c r="E60" s="5"/>
      <c r="F60" s="23"/>
      <c r="H60" s="5"/>
      <c r="I60" s="13" t="s">
        <v>42</v>
      </c>
      <c r="J60" s="14" t="n">
        <v>74914</v>
      </c>
      <c r="K60" s="16" t="n">
        <v>0.005</v>
      </c>
      <c r="L60" s="14" t="n">
        <v>133181</v>
      </c>
      <c r="M60" s="16" t="n">
        <v>0.004</v>
      </c>
      <c r="N60" s="14" t="n">
        <v>208095</v>
      </c>
      <c r="O60" s="14" t="n">
        <v>208095</v>
      </c>
      <c r="P60" s="18" t="n">
        <v>3</v>
      </c>
      <c r="Q60" s="16" t="n">
        <v>0.36</v>
      </c>
      <c r="R60" s="16" t="n">
        <v>0.64</v>
      </c>
    </row>
    <row r="61" customFormat="false" ht="15" hidden="false" customHeight="false" outlineLevel="0" collapsed="false">
      <c r="F61" s="23"/>
      <c r="H61" s="5"/>
      <c r="I61" s="13" t="s">
        <v>44</v>
      </c>
      <c r="J61" s="14" t="n">
        <v>0</v>
      </c>
      <c r="K61" s="16" t="n">
        <v>0</v>
      </c>
      <c r="L61" s="14" t="n">
        <v>0</v>
      </c>
      <c r="M61" s="16" t="n">
        <v>0</v>
      </c>
      <c r="N61" s="14" t="n">
        <v>0</v>
      </c>
      <c r="O61" s="14" t="n">
        <v>0</v>
      </c>
      <c r="P61" s="18" t="n">
        <v>0</v>
      </c>
      <c r="Q61" s="22" t="s">
        <v>111</v>
      </c>
      <c r="R61" s="22" t="s">
        <v>111</v>
      </c>
    </row>
    <row r="62" customFormat="false" ht="15" hidden="false" customHeight="false" outlineLevel="0" collapsed="false">
      <c r="A62" s="30" t="s">
        <v>2</v>
      </c>
      <c r="B62" s="30" t="s">
        <v>92</v>
      </c>
      <c r="C62" s="30" t="s">
        <v>93</v>
      </c>
      <c r="D62" s="30" t="s">
        <v>94</v>
      </c>
      <c r="E62" s="30" t="s">
        <v>115</v>
      </c>
      <c r="F62" s="23"/>
      <c r="H62" s="5"/>
      <c r="I62" s="13" t="s">
        <v>61</v>
      </c>
      <c r="J62" s="14" t="n">
        <v>4259</v>
      </c>
      <c r="K62" s="16" t="n">
        <v>0</v>
      </c>
      <c r="L62" s="14" t="n">
        <v>4259</v>
      </c>
      <c r="M62" s="16" t="n">
        <v>0</v>
      </c>
      <c r="N62" s="14" t="n">
        <v>8518</v>
      </c>
      <c r="O62" s="14" t="n">
        <v>8518</v>
      </c>
      <c r="P62" s="18" t="n">
        <v>0</v>
      </c>
      <c r="Q62" s="16" t="n">
        <v>0.5</v>
      </c>
      <c r="R62" s="16" t="n">
        <v>0.5</v>
      </c>
    </row>
    <row r="63" customFormat="false" ht="15" hidden="false" customHeight="false" outlineLevel="0" collapsed="false">
      <c r="A63" s="31" t="s">
        <v>116</v>
      </c>
      <c r="B63" s="32" t="n">
        <v>404131</v>
      </c>
      <c r="C63" s="32" t="n">
        <v>587472</v>
      </c>
      <c r="D63" s="32" t="n">
        <v>524751</v>
      </c>
      <c r="E63" s="33"/>
      <c r="F63" s="23"/>
      <c r="H63" s="5"/>
      <c r="I63" s="13" t="s">
        <v>62</v>
      </c>
      <c r="J63" s="14" t="n">
        <v>43264</v>
      </c>
      <c r="K63" s="16" t="n">
        <v>0.003</v>
      </c>
      <c r="L63" s="14" t="n">
        <v>43264</v>
      </c>
      <c r="M63" s="16" t="n">
        <v>0.001</v>
      </c>
      <c r="N63" s="14" t="n">
        <v>86528</v>
      </c>
      <c r="O63" s="14" t="n">
        <v>86528</v>
      </c>
      <c r="P63" s="18" t="n">
        <v>0</v>
      </c>
      <c r="Q63" s="16" t="n">
        <v>0.5</v>
      </c>
      <c r="R63" s="16" t="n">
        <v>0.5</v>
      </c>
    </row>
    <row r="64" customFormat="false" ht="15" hidden="false" customHeight="false" outlineLevel="0" collapsed="false">
      <c r="A64" s="31" t="s">
        <v>117</v>
      </c>
      <c r="B64" s="34" t="n">
        <v>90.45</v>
      </c>
      <c r="C64" s="34" t="n">
        <v>64.07</v>
      </c>
      <c r="D64" s="34" t="n">
        <v>70.13</v>
      </c>
      <c r="E64" s="33"/>
      <c r="F64" s="23"/>
      <c r="H64" s="5"/>
      <c r="I64" s="13" t="s">
        <v>63</v>
      </c>
      <c r="J64" s="14" t="n">
        <v>6000</v>
      </c>
      <c r="K64" s="16" t="n">
        <v>0</v>
      </c>
      <c r="L64" s="14" t="n">
        <v>6000</v>
      </c>
      <c r="M64" s="16" t="n">
        <v>0</v>
      </c>
      <c r="N64" s="14" t="n">
        <v>12000</v>
      </c>
      <c r="O64" s="14" t="n">
        <v>12000</v>
      </c>
      <c r="P64" s="18" t="n">
        <v>0</v>
      </c>
      <c r="Q64" s="16" t="n">
        <v>0.5</v>
      </c>
      <c r="R64" s="16" t="n">
        <v>0.5</v>
      </c>
    </row>
    <row r="65" customFormat="false" ht="15" hidden="false" customHeight="false" outlineLevel="0" collapsed="false">
      <c r="A65" s="31" t="s">
        <v>118</v>
      </c>
      <c r="B65" s="34" t="n">
        <v>80.34</v>
      </c>
      <c r="C65" s="34" t="n">
        <v>53.96</v>
      </c>
      <c r="D65" s="5"/>
      <c r="E65" s="33"/>
      <c r="F65" s="23"/>
      <c r="H65" s="5"/>
      <c r="I65" s="13" t="s">
        <v>64</v>
      </c>
      <c r="J65" s="14" t="n">
        <v>73958</v>
      </c>
      <c r="K65" s="16" t="n">
        <v>0.005</v>
      </c>
      <c r="L65" s="14" t="n">
        <v>131481</v>
      </c>
      <c r="M65" s="16" t="n">
        <v>0.004</v>
      </c>
      <c r="N65" s="14" t="n">
        <v>205439</v>
      </c>
      <c r="O65" s="14" t="n">
        <v>205439</v>
      </c>
      <c r="P65" s="18" t="n">
        <v>3</v>
      </c>
      <c r="Q65" s="16" t="n">
        <v>0.36</v>
      </c>
      <c r="R65" s="16" t="n">
        <v>0.64</v>
      </c>
    </row>
    <row r="66" customFormat="false" ht="15" hidden="false" customHeight="false" outlineLevel="0" collapsed="false">
      <c r="A66" s="31" t="s">
        <v>119</v>
      </c>
      <c r="B66" s="32" t="n">
        <v>347683</v>
      </c>
      <c r="C66" s="32" t="n">
        <v>308490</v>
      </c>
      <c r="D66" s="32" t="n">
        <v>321898</v>
      </c>
      <c r="E66" s="33"/>
      <c r="F66" s="23"/>
      <c r="H66" s="5"/>
      <c r="I66" s="13" t="s">
        <v>38</v>
      </c>
      <c r="J66" s="14" t="n">
        <v>23538</v>
      </c>
      <c r="K66" s="16" t="n">
        <v>0.002</v>
      </c>
      <c r="L66" s="14" t="n">
        <v>23538</v>
      </c>
      <c r="M66" s="16" t="n">
        <v>0.001</v>
      </c>
      <c r="N66" s="14" t="n">
        <v>47075</v>
      </c>
      <c r="O66" s="14" t="n">
        <v>47075</v>
      </c>
      <c r="P66" s="18" t="n">
        <v>0</v>
      </c>
      <c r="Q66" s="16" t="n">
        <v>0.5</v>
      </c>
      <c r="R66" s="16" t="n">
        <v>0.5</v>
      </c>
    </row>
    <row r="67" customFormat="false" ht="15" hidden="false" customHeight="false" outlineLevel="0" collapsed="false">
      <c r="A67" s="31" t="s">
        <v>120</v>
      </c>
      <c r="B67" s="32" t="n">
        <v>421091</v>
      </c>
      <c r="C67" s="32" t="n">
        <v>382701</v>
      </c>
      <c r="D67" s="32" t="n">
        <v>395834</v>
      </c>
      <c r="E67" s="33"/>
      <c r="F67" s="23"/>
      <c r="H67" s="5"/>
      <c r="I67" s="13" t="s">
        <v>65</v>
      </c>
      <c r="J67" s="14" t="n">
        <v>5000</v>
      </c>
      <c r="K67" s="16" t="n">
        <v>0</v>
      </c>
      <c r="L67" s="14" t="n">
        <v>5000</v>
      </c>
      <c r="M67" s="16" t="n">
        <v>0</v>
      </c>
      <c r="N67" s="14" t="n">
        <v>10000</v>
      </c>
      <c r="O67" s="14" t="n">
        <v>10000</v>
      </c>
      <c r="P67" s="18" t="n">
        <v>0</v>
      </c>
      <c r="Q67" s="16" t="n">
        <v>0.5</v>
      </c>
      <c r="R67" s="16" t="n">
        <v>0.5</v>
      </c>
    </row>
    <row r="68" customFormat="false" ht="15" hidden="false" customHeight="false" outlineLevel="0" collapsed="false">
      <c r="A68" s="13" t="s">
        <v>121</v>
      </c>
      <c r="B68" s="14" t="n">
        <v>26920631</v>
      </c>
      <c r="C68" s="14" t="n">
        <v>38984292</v>
      </c>
      <c r="D68" s="14" t="n">
        <v>64714797</v>
      </c>
      <c r="E68" s="33"/>
      <c r="F68" s="23"/>
      <c r="H68" s="5"/>
      <c r="I68" s="13" t="s">
        <v>66</v>
      </c>
      <c r="J68" s="14" t="n">
        <v>4694</v>
      </c>
      <c r="K68" s="16" t="n">
        <v>0</v>
      </c>
      <c r="L68" s="14" t="n">
        <v>8345</v>
      </c>
      <c r="M68" s="16" t="n">
        <v>0</v>
      </c>
      <c r="N68" s="14" t="n">
        <v>13039</v>
      </c>
      <c r="O68" s="14" t="n">
        <v>13039</v>
      </c>
      <c r="P68" s="18" t="n">
        <v>3</v>
      </c>
      <c r="Q68" s="16" t="n">
        <v>0.36</v>
      </c>
      <c r="R68" s="16" t="n">
        <v>0.64</v>
      </c>
    </row>
    <row r="69" customFormat="false" ht="15" hidden="false" customHeight="false" outlineLevel="0" collapsed="false">
      <c r="A69" s="13" t="s">
        <v>122</v>
      </c>
      <c r="B69" s="14" t="n">
        <v>15224573</v>
      </c>
      <c r="C69" s="14" t="n">
        <v>35958343</v>
      </c>
      <c r="D69" s="14" t="n">
        <v>51182916</v>
      </c>
      <c r="E69" s="33"/>
      <c r="F69" s="23"/>
      <c r="H69" s="5"/>
      <c r="I69" s="13" t="s">
        <v>67</v>
      </c>
      <c r="J69" s="14" t="n">
        <v>8139</v>
      </c>
      <c r="K69" s="16" t="n">
        <v>0.001</v>
      </c>
      <c r="L69" s="14" t="n">
        <v>16161</v>
      </c>
      <c r="M69" s="16" t="n">
        <v>0</v>
      </c>
      <c r="N69" s="14" t="n">
        <v>24300</v>
      </c>
      <c r="O69" s="14" t="n">
        <v>24300</v>
      </c>
      <c r="P69" s="18" t="n">
        <v>2</v>
      </c>
      <c r="Q69" s="16" t="n">
        <v>0.335</v>
      </c>
      <c r="R69" s="16" t="n">
        <v>0.665</v>
      </c>
    </row>
    <row r="70" customFormat="false" ht="15" hidden="false" customHeight="false" outlineLevel="0" collapsed="false">
      <c r="A70" s="13" t="s">
        <v>123</v>
      </c>
      <c r="B70" s="35" t="n">
        <v>-0.7682</v>
      </c>
      <c r="C70" s="35" t="n">
        <v>-0.0842</v>
      </c>
      <c r="D70" s="35" t="n">
        <v>-0.2644</v>
      </c>
      <c r="E70" s="33" t="s">
        <v>124</v>
      </c>
      <c r="F70" s="23"/>
      <c r="H70" s="5"/>
      <c r="I70" s="13" t="s">
        <v>45</v>
      </c>
      <c r="J70" s="14" t="n">
        <v>0</v>
      </c>
      <c r="K70" s="16" t="n">
        <v>0</v>
      </c>
      <c r="L70" s="14" t="n">
        <v>0</v>
      </c>
      <c r="M70" s="16" t="n">
        <v>0</v>
      </c>
      <c r="N70" s="14" t="n">
        <v>0</v>
      </c>
      <c r="O70" s="14" t="n">
        <v>0</v>
      </c>
      <c r="P70" s="18" t="n">
        <v>3</v>
      </c>
      <c r="Q70" s="22" t="s">
        <v>111</v>
      </c>
      <c r="R70" s="22" t="s">
        <v>111</v>
      </c>
    </row>
    <row r="71" customFormat="false" ht="15" hidden="false" customHeight="false" outlineLevel="0" collapsed="false">
      <c r="A71" s="13" t="s">
        <v>125</v>
      </c>
      <c r="B71" s="17" t="n">
        <v>1.042</v>
      </c>
      <c r="C71" s="17" t="n">
        <v>0.6514</v>
      </c>
      <c r="D71" s="17" t="n">
        <v>0.7543</v>
      </c>
      <c r="E71" s="33" t="s">
        <v>126</v>
      </c>
      <c r="F71" s="23"/>
      <c r="H71" s="5"/>
      <c r="I71" s="13" t="s">
        <v>68</v>
      </c>
      <c r="J71" s="14" t="n">
        <v>0</v>
      </c>
      <c r="K71" s="16" t="n">
        <v>0</v>
      </c>
      <c r="L71" s="14" t="n">
        <v>0</v>
      </c>
      <c r="M71" s="16" t="n">
        <v>0</v>
      </c>
      <c r="N71" s="14" t="n">
        <v>0</v>
      </c>
      <c r="O71" s="14" t="n">
        <v>0</v>
      </c>
      <c r="P71" s="18" t="n">
        <v>3</v>
      </c>
      <c r="Q71" s="22" t="s">
        <v>111</v>
      </c>
      <c r="R71" s="22" t="s">
        <v>111</v>
      </c>
    </row>
    <row r="72" customFormat="false" ht="15" hidden="false" customHeight="false" outlineLevel="0" collapsed="false">
      <c r="A72" s="31" t="s">
        <v>127</v>
      </c>
      <c r="B72" s="17" t="n">
        <v>0.3875</v>
      </c>
      <c r="C72" s="17" t="n">
        <v>0.6348</v>
      </c>
      <c r="D72" s="17" t="n">
        <v>0.5434</v>
      </c>
      <c r="E72" s="36" t="s">
        <v>128</v>
      </c>
      <c r="F72" s="23"/>
      <c r="H72" s="5"/>
      <c r="I72" s="13" t="s">
        <v>69</v>
      </c>
      <c r="J72" s="14" t="n">
        <v>70000</v>
      </c>
      <c r="K72" s="16" t="n">
        <v>0.005</v>
      </c>
      <c r="L72" s="14" t="n">
        <v>70000</v>
      </c>
      <c r="M72" s="16" t="n">
        <v>0.002</v>
      </c>
      <c r="N72" s="14" t="n">
        <v>140000</v>
      </c>
      <c r="O72" s="14" t="n">
        <v>140000</v>
      </c>
      <c r="P72" s="18" t="n">
        <v>0</v>
      </c>
      <c r="Q72" s="16" t="n">
        <v>0.5</v>
      </c>
      <c r="R72" s="16" t="n">
        <v>0.5</v>
      </c>
    </row>
    <row r="73" customFormat="false" ht="15" hidden="false" customHeight="false" outlineLevel="0" collapsed="false">
      <c r="A73" s="13" t="s">
        <v>129</v>
      </c>
      <c r="B73" s="17" t="n">
        <v>1.7682</v>
      </c>
      <c r="C73" s="17" t="n">
        <v>1.0842</v>
      </c>
      <c r="D73" s="17" t="n">
        <v>1.2644</v>
      </c>
      <c r="E73" s="33" t="s">
        <v>130</v>
      </c>
      <c r="F73" s="23"/>
      <c r="H73" s="5"/>
      <c r="I73" s="13" t="s">
        <v>70</v>
      </c>
      <c r="J73" s="14" t="n">
        <v>0</v>
      </c>
      <c r="K73" s="16" t="n">
        <v>0</v>
      </c>
      <c r="L73" s="14" t="n">
        <v>0</v>
      </c>
      <c r="M73" s="16" t="n">
        <v>0</v>
      </c>
      <c r="N73" s="14" t="n">
        <v>0</v>
      </c>
      <c r="O73" s="14" t="n">
        <v>0</v>
      </c>
      <c r="P73" s="18" t="n">
        <v>0</v>
      </c>
      <c r="Q73" s="22" t="s">
        <v>111</v>
      </c>
      <c r="R73" s="22" t="s">
        <v>111</v>
      </c>
    </row>
    <row r="74" customFormat="false" ht="15" hidden="false" customHeight="false" outlineLevel="0" collapsed="false">
      <c r="A74" s="13" t="s">
        <v>131</v>
      </c>
      <c r="B74" s="14" t="n">
        <v>297638</v>
      </c>
      <c r="C74" s="14" t="n">
        <v>608427</v>
      </c>
      <c r="D74" s="14" t="n">
        <v>922774</v>
      </c>
      <c r="E74" s="36" t="s">
        <v>132</v>
      </c>
      <c r="F74" s="23"/>
      <c r="H74" s="5"/>
      <c r="I74" s="13" t="s">
        <v>40</v>
      </c>
      <c r="J74" s="14" t="n">
        <v>0</v>
      </c>
      <c r="K74" s="16" t="n">
        <v>0</v>
      </c>
      <c r="L74" s="14" t="n">
        <v>0</v>
      </c>
      <c r="M74" s="16" t="n">
        <v>0</v>
      </c>
      <c r="N74" s="14" t="n">
        <v>0</v>
      </c>
      <c r="O74" s="14" t="n">
        <v>0</v>
      </c>
      <c r="P74" s="18" t="n">
        <v>3</v>
      </c>
      <c r="Q74" s="22" t="s">
        <v>111</v>
      </c>
      <c r="R74" s="22" t="s">
        <v>111</v>
      </c>
    </row>
    <row r="75" customFormat="false" ht="15" hidden="false" customHeight="false" outlineLevel="0" collapsed="false">
      <c r="A75" s="13" t="s">
        <v>133</v>
      </c>
      <c r="B75" s="35" t="n">
        <v>-0.4333</v>
      </c>
      <c r="C75" s="35" t="n">
        <v>-0.0545</v>
      </c>
      <c r="D75" s="35" t="n">
        <v>-0.1672</v>
      </c>
      <c r="E75" s="36" t="s">
        <v>134</v>
      </c>
      <c r="F75" s="23"/>
      <c r="H75" s="5"/>
      <c r="I75" s="13" t="s">
        <v>48</v>
      </c>
      <c r="J75" s="14" t="n">
        <v>105223</v>
      </c>
      <c r="K75" s="16" t="n">
        <v>0.007</v>
      </c>
      <c r="L75" s="14" t="n">
        <v>105223</v>
      </c>
      <c r="M75" s="16" t="n">
        <v>0.003</v>
      </c>
      <c r="N75" s="14" t="n">
        <v>210445</v>
      </c>
      <c r="O75" s="14" t="n">
        <v>210445</v>
      </c>
      <c r="P75" s="18" t="n">
        <v>0</v>
      </c>
      <c r="Q75" s="16" t="n">
        <v>0.5</v>
      </c>
      <c r="R75" s="16" t="n">
        <v>0.5</v>
      </c>
    </row>
    <row r="76" customFormat="false" ht="15" hidden="false" customHeight="false" outlineLevel="0" collapsed="false">
      <c r="F76" s="23"/>
      <c r="H76" s="5"/>
      <c r="I76" s="13" t="s">
        <v>71</v>
      </c>
      <c r="J76" s="14" t="n">
        <v>115500</v>
      </c>
      <c r="K76" s="16" t="n">
        <v>0.008</v>
      </c>
      <c r="L76" s="14" t="n">
        <v>115500</v>
      </c>
      <c r="M76" s="16" t="n">
        <v>0.003</v>
      </c>
      <c r="N76" s="14" t="n">
        <v>231000</v>
      </c>
      <c r="O76" s="14" t="n">
        <v>231000</v>
      </c>
      <c r="P76" s="18" t="n">
        <v>0</v>
      </c>
      <c r="Q76" s="16" t="n">
        <v>0.5</v>
      </c>
      <c r="R76" s="16" t="n">
        <v>0.5</v>
      </c>
    </row>
    <row r="77" customFormat="false" ht="15" hidden="false" customHeight="false" outlineLevel="0" collapsed="false">
      <c r="F77" s="23"/>
      <c r="H77" s="5"/>
      <c r="I77" s="31"/>
      <c r="J77" s="14" t="n">
        <v>0</v>
      </c>
      <c r="K77" s="16" t="n">
        <v>0</v>
      </c>
      <c r="L77" s="14" t="n">
        <v>0</v>
      </c>
      <c r="M77" s="16" t="n">
        <v>0</v>
      </c>
      <c r="N77" s="14" t="n">
        <v>0</v>
      </c>
      <c r="O77" s="14" t="n">
        <v>0</v>
      </c>
      <c r="P77" s="18" t="n">
        <v>0</v>
      </c>
      <c r="Q77" s="22" t="s">
        <v>111</v>
      </c>
      <c r="R77" s="22" t="s">
        <v>111</v>
      </c>
    </row>
    <row r="78" customFormat="false" ht="15" hidden="false" customHeight="false" outlineLevel="0" collapsed="false">
      <c r="F78" s="23"/>
      <c r="H78" s="21" t="s">
        <v>27</v>
      </c>
      <c r="I78" s="9" t="s">
        <v>72</v>
      </c>
      <c r="J78" s="11" t="n">
        <v>3912990</v>
      </c>
      <c r="K78" s="19" t="n">
        <v>0.257</v>
      </c>
      <c r="L78" s="11" t="n">
        <v>5499522</v>
      </c>
      <c r="M78" s="19" t="n">
        <v>0.153</v>
      </c>
      <c r="N78" s="11" t="n">
        <v>9412512</v>
      </c>
      <c r="O78" s="11" t="n">
        <v>9412512</v>
      </c>
      <c r="P78" s="20"/>
      <c r="Q78" s="19" t="n">
        <v>0.416</v>
      </c>
      <c r="R78" s="19" t="n">
        <v>0.584</v>
      </c>
    </row>
    <row r="79" customFormat="false" ht="15" hidden="false" customHeight="false" outlineLevel="0" collapsed="false">
      <c r="F79" s="23"/>
      <c r="H79" s="21"/>
      <c r="I79" s="9" t="s">
        <v>73</v>
      </c>
      <c r="J79" s="28" t="n">
        <v>-6151100</v>
      </c>
      <c r="K79" s="29" t="n">
        <v>-0.404</v>
      </c>
      <c r="L79" s="28" t="n">
        <v>-900662</v>
      </c>
      <c r="M79" s="29" t="n">
        <v>-0.025</v>
      </c>
      <c r="N79" s="28" t="n">
        <v>-7051762</v>
      </c>
      <c r="O79" s="11" t="n">
        <v>540481</v>
      </c>
      <c r="P79" s="20"/>
      <c r="Q79" s="19" t="n">
        <v>0.872</v>
      </c>
      <c r="R79" s="19" t="n">
        <v>0.128</v>
      </c>
    </row>
    <row r="80" customFormat="false" ht="15" hidden="false" customHeight="false" outlineLevel="0" collapsed="false">
      <c r="F80" s="23"/>
      <c r="H80" s="5"/>
      <c r="I80" s="13" t="s">
        <v>74</v>
      </c>
      <c r="J80" s="14" t="n">
        <v>0</v>
      </c>
      <c r="K80" s="16" t="n">
        <v>0</v>
      </c>
      <c r="L80" s="14" t="n">
        <v>0</v>
      </c>
      <c r="M80" s="16" t="n">
        <v>0</v>
      </c>
      <c r="N80" s="14" t="n">
        <v>0</v>
      </c>
      <c r="O80" s="14" t="n">
        <v>0</v>
      </c>
      <c r="P80" s="18" t="n">
        <v>1</v>
      </c>
      <c r="Q80" s="22" t="s">
        <v>111</v>
      </c>
      <c r="R80" s="22" t="s">
        <v>111</v>
      </c>
    </row>
    <row r="81" customFormat="false" ht="15" hidden="false" customHeight="false" outlineLevel="0" collapsed="false">
      <c r="F81" s="23"/>
      <c r="H81" s="5"/>
      <c r="I81" s="13" t="s">
        <v>75</v>
      </c>
      <c r="J81" s="14" t="n">
        <v>0</v>
      </c>
      <c r="K81" s="16" t="n">
        <v>0</v>
      </c>
      <c r="L81" s="14" t="n">
        <v>0</v>
      </c>
      <c r="M81" s="16" t="n">
        <v>0</v>
      </c>
      <c r="N81" s="14" t="n">
        <v>0</v>
      </c>
      <c r="O81" s="14" t="n">
        <v>0</v>
      </c>
      <c r="P81" s="18" t="n">
        <v>1</v>
      </c>
      <c r="Q81" s="22" t="s">
        <v>111</v>
      </c>
      <c r="R81" s="22" t="s">
        <v>111</v>
      </c>
    </row>
    <row r="82" customFormat="false" ht="15" hidden="false" customHeight="false" outlineLevel="0" collapsed="false">
      <c r="F82" s="23"/>
      <c r="H82" s="5"/>
      <c r="I82" s="13" t="s">
        <v>76</v>
      </c>
      <c r="J82" s="14" t="n">
        <v>26657</v>
      </c>
      <c r="K82" s="16" t="n">
        <v>0.002</v>
      </c>
      <c r="L82" s="14" t="n">
        <v>63343</v>
      </c>
      <c r="M82" s="16" t="n">
        <v>0.002</v>
      </c>
      <c r="N82" s="14" t="n">
        <v>90000</v>
      </c>
      <c r="O82" s="14" t="n">
        <v>90000</v>
      </c>
      <c r="P82" s="18" t="n">
        <v>1</v>
      </c>
      <c r="Q82" s="16" t="n">
        <v>0.296</v>
      </c>
      <c r="R82" s="16" t="n">
        <v>0.704</v>
      </c>
    </row>
    <row r="83" customFormat="false" ht="15" hidden="false" customHeight="false" outlineLevel="0" collapsed="false">
      <c r="F83" s="23"/>
      <c r="H83" s="5"/>
      <c r="I83" s="13" t="s">
        <v>77</v>
      </c>
      <c r="J83" s="14" t="n">
        <v>2156</v>
      </c>
      <c r="K83" s="16" t="n">
        <v>0</v>
      </c>
      <c r="L83" s="14" t="n">
        <v>5123</v>
      </c>
      <c r="M83" s="16" t="n">
        <v>0</v>
      </c>
      <c r="N83" s="14" t="n">
        <v>7279</v>
      </c>
      <c r="O83" s="14" t="n">
        <v>7279</v>
      </c>
      <c r="P83" s="18" t="n">
        <v>1</v>
      </c>
      <c r="Q83" s="16" t="n">
        <v>0.296</v>
      </c>
      <c r="R83" s="16" t="n">
        <v>0.704</v>
      </c>
    </row>
    <row r="84" customFormat="false" ht="15" hidden="false" customHeight="false" outlineLevel="0" collapsed="false">
      <c r="F84" s="23"/>
      <c r="H84" s="5"/>
      <c r="I84" s="31"/>
      <c r="J84" s="14" t="n">
        <v>0</v>
      </c>
      <c r="K84" s="16" t="n">
        <v>0</v>
      </c>
      <c r="L84" s="14" t="n">
        <v>0</v>
      </c>
      <c r="M84" s="16" t="n">
        <v>0</v>
      </c>
      <c r="N84" s="14" t="n">
        <v>0</v>
      </c>
      <c r="O84" s="14" t="n">
        <v>0</v>
      </c>
      <c r="P84" s="18" t="n">
        <v>1</v>
      </c>
      <c r="Q84" s="22" t="s">
        <v>111</v>
      </c>
      <c r="R84" s="22" t="s">
        <v>111</v>
      </c>
    </row>
    <row r="85" customFormat="false" ht="15" hidden="false" customHeight="false" outlineLevel="0" collapsed="false">
      <c r="F85" s="23"/>
      <c r="H85" s="21"/>
      <c r="I85" s="9" t="s">
        <v>78</v>
      </c>
      <c r="J85" s="11" t="n">
        <v>28813</v>
      </c>
      <c r="K85" s="19" t="n">
        <v>0.002</v>
      </c>
      <c r="L85" s="11" t="n">
        <v>68466</v>
      </c>
      <c r="M85" s="19" t="n">
        <v>0.002</v>
      </c>
      <c r="N85" s="11" t="n">
        <v>97279</v>
      </c>
      <c r="O85" s="11" t="n">
        <v>97279</v>
      </c>
      <c r="P85" s="20"/>
      <c r="Q85" s="19" t="n">
        <v>0.296</v>
      </c>
      <c r="R85" s="19" t="n">
        <v>0.704</v>
      </c>
    </row>
    <row r="86" customFormat="false" ht="15" hidden="false" customHeight="false" outlineLevel="0" collapsed="false">
      <c r="F86" s="23"/>
      <c r="H86" s="5"/>
      <c r="I86" s="13" t="s">
        <v>79</v>
      </c>
      <c r="J86" s="14" t="n">
        <v>469983</v>
      </c>
      <c r="K86" s="16" t="n">
        <v>0.031</v>
      </c>
      <c r="L86" s="14" t="n">
        <v>1116797</v>
      </c>
      <c r="M86" s="16" t="n">
        <v>0.031</v>
      </c>
      <c r="N86" s="14" t="n">
        <v>1586780</v>
      </c>
      <c r="O86" s="14" t="n">
        <v>1586780</v>
      </c>
      <c r="P86" s="18" t="n">
        <v>1</v>
      </c>
      <c r="Q86" s="16" t="n">
        <v>0.296</v>
      </c>
      <c r="R86" s="16" t="n">
        <v>0.704</v>
      </c>
    </row>
    <row r="87" customFormat="false" ht="15" hidden="false" customHeight="false" outlineLevel="0" collapsed="false">
      <c r="F87" s="23"/>
      <c r="H87" s="5"/>
      <c r="I87" s="13" t="s">
        <v>80</v>
      </c>
      <c r="J87" s="14" t="n">
        <v>4871</v>
      </c>
      <c r="K87" s="16" t="n">
        <v>0</v>
      </c>
      <c r="L87" s="14" t="n">
        <v>11576</v>
      </c>
      <c r="M87" s="16" t="n">
        <v>0</v>
      </c>
      <c r="N87" s="14" t="n">
        <v>16447</v>
      </c>
      <c r="O87" s="14" t="n">
        <v>16447</v>
      </c>
      <c r="P87" s="18" t="n">
        <v>1</v>
      </c>
      <c r="Q87" s="16" t="n">
        <v>0.296</v>
      </c>
      <c r="R87" s="16" t="n">
        <v>0.704</v>
      </c>
    </row>
    <row r="88" customFormat="false" ht="15" hidden="false" customHeight="false" outlineLevel="0" collapsed="false">
      <c r="F88" s="23"/>
      <c r="H88" s="5"/>
      <c r="I88" s="13" t="s">
        <v>62</v>
      </c>
      <c r="J88" s="14" t="n">
        <v>0</v>
      </c>
      <c r="K88" s="16" t="n">
        <v>0</v>
      </c>
      <c r="L88" s="14" t="n">
        <v>0</v>
      </c>
      <c r="M88" s="16" t="n">
        <v>0</v>
      </c>
      <c r="N88" s="14" t="n">
        <v>0</v>
      </c>
      <c r="O88" s="14" t="n">
        <v>0</v>
      </c>
      <c r="P88" s="18" t="n">
        <v>1</v>
      </c>
      <c r="Q88" s="22" t="s">
        <v>111</v>
      </c>
      <c r="R88" s="22" t="s">
        <v>111</v>
      </c>
    </row>
    <row r="89" customFormat="false" ht="15" hidden="false" customHeight="false" outlineLevel="0" collapsed="false">
      <c r="F89" s="23"/>
      <c r="H89" s="5"/>
      <c r="I89" s="13" t="s">
        <v>81</v>
      </c>
      <c r="J89" s="14" t="n">
        <v>0</v>
      </c>
      <c r="K89" s="16" t="n">
        <v>0</v>
      </c>
      <c r="L89" s="14" t="n">
        <v>0</v>
      </c>
      <c r="M89" s="16" t="n">
        <v>0</v>
      </c>
      <c r="N89" s="14" t="n">
        <v>0</v>
      </c>
      <c r="O89" s="14" t="n">
        <v>0</v>
      </c>
      <c r="P89" s="18" t="n">
        <v>1</v>
      </c>
      <c r="Q89" s="22" t="s">
        <v>111</v>
      </c>
      <c r="R89" s="22" t="s">
        <v>111</v>
      </c>
    </row>
    <row r="90" customFormat="false" ht="15" hidden="false" customHeight="false" outlineLevel="0" collapsed="false">
      <c r="F90" s="23"/>
      <c r="H90" s="21" t="s">
        <v>27</v>
      </c>
      <c r="I90" s="9" t="s">
        <v>82</v>
      </c>
      <c r="J90" s="11" t="n">
        <v>474854</v>
      </c>
      <c r="K90" s="19" t="n">
        <v>0.031</v>
      </c>
      <c r="L90" s="11" t="n">
        <v>1128373</v>
      </c>
      <c r="M90" s="19" t="n">
        <v>0.031</v>
      </c>
      <c r="N90" s="11" t="n">
        <v>1603227</v>
      </c>
      <c r="O90" s="11" t="n">
        <v>1603227</v>
      </c>
      <c r="P90" s="20"/>
      <c r="Q90" s="19" t="n">
        <v>0.296</v>
      </c>
      <c r="R90" s="19" t="n">
        <v>0.704</v>
      </c>
    </row>
    <row r="91" customFormat="false" ht="15" hidden="false" customHeight="false" outlineLevel="0" collapsed="false">
      <c r="F91" s="23"/>
      <c r="H91" s="21"/>
      <c r="I91" s="9" t="s">
        <v>83</v>
      </c>
      <c r="J91" s="28" t="n">
        <v>-6597141</v>
      </c>
      <c r="K91" s="29" t="n">
        <v>-0.433</v>
      </c>
      <c r="L91" s="28" t="n">
        <v>-1960568</v>
      </c>
      <c r="M91" s="29" t="n">
        <v>-0.055</v>
      </c>
      <c r="N91" s="28" t="n">
        <v>-8557710</v>
      </c>
      <c r="O91" s="28" t="n">
        <v>-965467</v>
      </c>
      <c r="P91" s="20"/>
      <c r="Q91" s="19" t="n">
        <v>0.771</v>
      </c>
      <c r="R91" s="19" t="n">
        <v>0.229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  <col collapsed="false" customWidth="true" hidden="false" outlineLevel="0" max="6" min="6" style="0" width="6"/>
    <col collapsed="false" customWidth="true" hidden="false" outlineLevel="0" max="7" min="7" style="0" width="3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5" min="14" style="0" width="13"/>
    <col collapsed="false" customWidth="true" hidden="false" outlineLevel="0" max="16" min="16" style="0" width="6"/>
    <col collapsed="false" customWidth="true" hidden="false" outlineLevel="0" max="18" min="17" style="0" width="9"/>
  </cols>
  <sheetData>
    <row r="1" customFormat="false" ht="19.4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2" t="s">
        <v>91</v>
      </c>
      <c r="B4" s="12" t="s">
        <v>92</v>
      </c>
      <c r="C4" s="12" t="s">
        <v>93</v>
      </c>
      <c r="D4" s="12" t="s">
        <v>94</v>
      </c>
      <c r="E4" s="12" t="s">
        <v>95</v>
      </c>
      <c r="F4" s="12" t="s">
        <v>96</v>
      </c>
      <c r="H4" s="12"/>
      <c r="I4" s="12" t="s">
        <v>2</v>
      </c>
      <c r="J4" s="12" t="s">
        <v>92</v>
      </c>
      <c r="K4" s="12" t="s">
        <v>97</v>
      </c>
      <c r="L4" s="12" t="s">
        <v>93</v>
      </c>
      <c r="M4" s="12" t="s">
        <v>97</v>
      </c>
      <c r="N4" s="12" t="s">
        <v>98</v>
      </c>
      <c r="O4" s="12" t="s">
        <v>95</v>
      </c>
      <c r="P4" s="12" t="s">
        <v>96</v>
      </c>
      <c r="Q4" s="12" t="s">
        <v>99</v>
      </c>
      <c r="R4" s="12" t="s">
        <v>100</v>
      </c>
    </row>
    <row r="5" customFormat="false" ht="15" hidden="false" customHeight="false" outlineLevel="0" collapsed="false">
      <c r="A5" s="13" t="s">
        <v>101</v>
      </c>
      <c r="B5" s="14" t="n">
        <v>9301791</v>
      </c>
      <c r="C5" s="14" t="n">
        <v>25169964</v>
      </c>
      <c r="D5" s="14" t="n">
        <v>6288799</v>
      </c>
      <c r="E5" s="14" t="n">
        <v>40760554</v>
      </c>
      <c r="F5" s="15"/>
      <c r="H5" s="5"/>
      <c r="I5" s="13" t="s">
        <v>9</v>
      </c>
      <c r="J5" s="14" t="n">
        <v>10370303</v>
      </c>
      <c r="K5" s="16" t="n">
        <v>1.006</v>
      </c>
      <c r="L5" s="14" t="n">
        <v>30390251</v>
      </c>
      <c r="M5" s="16" t="n">
        <v>0.991</v>
      </c>
      <c r="N5" s="14" t="n">
        <v>40760554</v>
      </c>
      <c r="O5" s="14" t="n">
        <v>40760554</v>
      </c>
      <c r="P5" s="15" t="s">
        <v>102</v>
      </c>
      <c r="Q5" s="16" t="n">
        <v>0.254</v>
      </c>
      <c r="R5" s="16" t="n">
        <v>0.746</v>
      </c>
    </row>
    <row r="6" customFormat="false" ht="15" hidden="false" customHeight="false" outlineLevel="0" collapsed="false">
      <c r="A6" s="13" t="s">
        <v>103</v>
      </c>
      <c r="B6" s="17" t="n">
        <v>0.2282</v>
      </c>
      <c r="C6" s="17" t="n">
        <v>0.6175</v>
      </c>
      <c r="D6" s="17" t="n">
        <v>0.1543</v>
      </c>
      <c r="E6" s="17" t="n">
        <v>1</v>
      </c>
      <c r="F6" s="18" t="n">
        <v>1</v>
      </c>
      <c r="H6" s="5"/>
      <c r="I6" s="13" t="s">
        <v>10</v>
      </c>
      <c r="J6" s="14" t="n">
        <v>77177</v>
      </c>
      <c r="K6" s="16" t="n">
        <v>0.007</v>
      </c>
      <c r="L6" s="14" t="n">
        <v>377053</v>
      </c>
      <c r="M6" s="16" t="n">
        <v>0.012</v>
      </c>
      <c r="N6" s="14" t="n">
        <v>454230</v>
      </c>
      <c r="O6" s="14" t="n">
        <v>454230</v>
      </c>
      <c r="P6" s="18" t="n">
        <v>4</v>
      </c>
      <c r="Q6" s="16" t="n">
        <v>0.17</v>
      </c>
      <c r="R6" s="16" t="n">
        <v>0.83</v>
      </c>
    </row>
    <row r="7" customFormat="false" ht="15" hidden="false" customHeight="false" outlineLevel="0" collapsed="false">
      <c r="A7" s="13" t="s">
        <v>104</v>
      </c>
      <c r="B7" s="14" t="n">
        <v>12</v>
      </c>
      <c r="C7" s="14" t="n">
        <v>10</v>
      </c>
      <c r="D7" s="14" t="n">
        <v>45</v>
      </c>
      <c r="E7" s="14" t="n">
        <v>67</v>
      </c>
      <c r="F7" s="15"/>
      <c r="H7" s="5"/>
      <c r="I7" s="13" t="s">
        <v>11</v>
      </c>
      <c r="J7" s="14" t="n">
        <v>135792</v>
      </c>
      <c r="K7" s="16" t="n">
        <v>0.013</v>
      </c>
      <c r="L7" s="14" t="n">
        <v>87856</v>
      </c>
      <c r="M7" s="16" t="n">
        <v>0.003</v>
      </c>
      <c r="N7" s="14" t="n">
        <v>223648</v>
      </c>
      <c r="O7" s="14" t="n">
        <v>223648</v>
      </c>
      <c r="P7" s="15" t="s">
        <v>102</v>
      </c>
      <c r="Q7" s="16" t="n">
        <v>0.607</v>
      </c>
      <c r="R7" s="16" t="n">
        <v>0.393</v>
      </c>
    </row>
    <row r="8" customFormat="false" ht="15" hidden="false" customHeight="false" outlineLevel="0" collapsed="false">
      <c r="A8" s="13" t="s">
        <v>105</v>
      </c>
      <c r="B8" s="17" t="n">
        <v>0.1791</v>
      </c>
      <c r="C8" s="17" t="n">
        <v>0.1493</v>
      </c>
      <c r="D8" s="17" t="n">
        <v>0.6716</v>
      </c>
      <c r="E8" s="17" t="n">
        <v>1</v>
      </c>
      <c r="F8" s="18" t="n">
        <v>2</v>
      </c>
      <c r="H8" s="21"/>
      <c r="I8" s="9" t="s">
        <v>12</v>
      </c>
      <c r="J8" s="11" t="n">
        <v>10311688</v>
      </c>
      <c r="K8" s="19" t="n">
        <v>1</v>
      </c>
      <c r="L8" s="11" t="n">
        <v>30679448</v>
      </c>
      <c r="M8" s="19" t="n">
        <v>1</v>
      </c>
      <c r="N8" s="11" t="n">
        <v>40991136</v>
      </c>
      <c r="O8" s="11" t="n">
        <v>40991136</v>
      </c>
      <c r="P8" s="20"/>
      <c r="Q8" s="19" t="n">
        <v>0.252</v>
      </c>
      <c r="R8" s="19" t="n">
        <v>0.748</v>
      </c>
    </row>
    <row r="9" customFormat="false" ht="15" hidden="false" customHeight="false" outlineLevel="0" collapsed="false">
      <c r="A9" s="13" t="s">
        <v>106</v>
      </c>
      <c r="B9" s="14" t="n">
        <v>54</v>
      </c>
      <c r="C9" s="14" t="n">
        <v>84</v>
      </c>
      <c r="D9" s="14" t="n">
        <v>0</v>
      </c>
      <c r="E9" s="14" t="n">
        <v>138</v>
      </c>
      <c r="F9" s="15"/>
      <c r="H9" s="5"/>
      <c r="I9" s="13" t="s">
        <v>13</v>
      </c>
      <c r="J9" s="14" t="n">
        <v>20</v>
      </c>
      <c r="K9" s="5"/>
      <c r="L9" s="14" t="n">
        <v>47</v>
      </c>
      <c r="M9" s="5"/>
      <c r="N9" s="14" t="n">
        <v>67</v>
      </c>
      <c r="O9" s="14" t="n">
        <v>67</v>
      </c>
      <c r="P9" s="15"/>
      <c r="Q9" s="16" t="n">
        <v>0.293</v>
      </c>
      <c r="R9" s="16" t="n">
        <v>0.707</v>
      </c>
    </row>
    <row r="10" customFormat="false" ht="15" hidden="false" customHeight="false" outlineLevel="0" collapsed="false">
      <c r="A10" s="13" t="s">
        <v>107</v>
      </c>
      <c r="B10" s="17" t="n">
        <v>0.3913</v>
      </c>
      <c r="C10" s="17" t="n">
        <v>0.6087</v>
      </c>
      <c r="D10" s="17" t="n">
        <v>0</v>
      </c>
      <c r="E10" s="17" t="n">
        <v>1</v>
      </c>
      <c r="F10" s="18" t="n">
        <v>3</v>
      </c>
      <c r="H10" s="5"/>
      <c r="I10" s="13" t="s">
        <v>14</v>
      </c>
      <c r="J10" s="14" t="n">
        <v>54</v>
      </c>
      <c r="K10" s="5"/>
      <c r="L10" s="14" t="n">
        <v>84</v>
      </c>
      <c r="M10" s="5"/>
      <c r="N10" s="14" t="n">
        <v>138</v>
      </c>
      <c r="O10" s="14" t="n">
        <v>138</v>
      </c>
      <c r="P10" s="15"/>
      <c r="Q10" s="16" t="n">
        <v>0.391</v>
      </c>
      <c r="R10" s="16" t="n">
        <v>0.609</v>
      </c>
    </row>
    <row r="11" customFormat="false" ht="15" hidden="false" customHeight="false" outlineLevel="0" collapsed="false">
      <c r="A11" s="13" t="s">
        <v>108</v>
      </c>
      <c r="B11" s="14" t="n">
        <v>97062</v>
      </c>
      <c r="C11" s="14" t="n">
        <v>474203</v>
      </c>
      <c r="D11" s="14" t="n">
        <v>0</v>
      </c>
      <c r="E11" s="14" t="n">
        <v>571265</v>
      </c>
      <c r="F11" s="15"/>
      <c r="H11" s="5"/>
      <c r="I11" s="13" t="s">
        <v>15</v>
      </c>
      <c r="J11" s="14" t="n">
        <v>97062</v>
      </c>
      <c r="K11" s="5"/>
      <c r="L11" s="14" t="n">
        <v>474203</v>
      </c>
      <c r="M11" s="5"/>
      <c r="N11" s="14" t="n">
        <v>571265</v>
      </c>
      <c r="O11" s="14" t="n">
        <v>571265</v>
      </c>
      <c r="P11" s="15"/>
      <c r="Q11" s="16" t="n">
        <v>0.17</v>
      </c>
      <c r="R11" s="16" t="n">
        <v>0.83</v>
      </c>
    </row>
    <row r="12" customFormat="false" ht="15" hidden="false" customHeight="false" outlineLevel="0" collapsed="false">
      <c r="A12" s="13" t="s">
        <v>109</v>
      </c>
      <c r="B12" s="17" t="n">
        <v>0.1699</v>
      </c>
      <c r="C12" s="17" t="n">
        <v>0.8301</v>
      </c>
      <c r="D12" s="17" t="n">
        <v>0</v>
      </c>
      <c r="E12" s="17" t="n">
        <v>1</v>
      </c>
      <c r="F12" s="18" t="n">
        <v>4</v>
      </c>
      <c r="H12" s="5"/>
      <c r="I12" s="13" t="s">
        <v>16</v>
      </c>
      <c r="J12" s="14" t="n">
        <v>1797</v>
      </c>
      <c r="K12" s="5"/>
      <c r="L12" s="14" t="n">
        <v>5645</v>
      </c>
      <c r="M12" s="5"/>
      <c r="N12" s="14" t="n">
        <v>4140</v>
      </c>
      <c r="O12" s="14" t="n">
        <v>4140</v>
      </c>
      <c r="P12" s="15"/>
      <c r="Q12" s="5"/>
      <c r="R12" s="5"/>
    </row>
    <row r="13" customFormat="false" ht="15" hidden="false" customHeight="false" outlineLevel="0" collapsed="false">
      <c r="A13" s="13" t="s">
        <v>19</v>
      </c>
      <c r="B13" s="14" t="n">
        <v>106145</v>
      </c>
      <c r="C13" s="14" t="n">
        <v>0</v>
      </c>
      <c r="D13" s="14" t="n">
        <v>387223</v>
      </c>
      <c r="E13" s="14" t="n">
        <v>493368</v>
      </c>
      <c r="F13" s="15"/>
      <c r="H13" s="5" t="s">
        <v>17</v>
      </c>
      <c r="I13" s="13" t="s">
        <v>88</v>
      </c>
      <c r="J13" s="5"/>
      <c r="K13" s="5"/>
      <c r="L13" s="5"/>
      <c r="M13" s="5"/>
      <c r="N13" s="5"/>
      <c r="O13" s="14" t="n">
        <v>1632217</v>
      </c>
      <c r="P13" s="15" t="s">
        <v>102</v>
      </c>
      <c r="Q13" s="5"/>
      <c r="R13" s="5"/>
    </row>
    <row r="14" customFormat="false" ht="15" hidden="false" customHeight="false" outlineLevel="0" collapsed="false">
      <c r="A14" s="13" t="s">
        <v>20</v>
      </c>
      <c r="B14" s="14" t="n">
        <v>337124</v>
      </c>
      <c r="C14" s="14" t="n">
        <v>801725</v>
      </c>
      <c r="D14" s="14" t="n">
        <v>0</v>
      </c>
      <c r="E14" s="14" t="n">
        <v>1138849</v>
      </c>
      <c r="F14" s="15"/>
      <c r="H14" s="21" t="s">
        <v>17</v>
      </c>
      <c r="I14" s="9" t="s">
        <v>18</v>
      </c>
      <c r="J14" s="11" t="n">
        <v>509061</v>
      </c>
      <c r="K14" s="19" t="n">
        <v>0.049</v>
      </c>
      <c r="L14" s="11" t="n">
        <v>1123156</v>
      </c>
      <c r="M14" s="19" t="n">
        <v>0.037</v>
      </c>
      <c r="N14" s="11" t="n">
        <v>1632217</v>
      </c>
      <c r="O14" s="11" t="n">
        <v>1632217</v>
      </c>
      <c r="P14" s="20"/>
      <c r="Q14" s="19" t="n">
        <v>0.312</v>
      </c>
      <c r="R14" s="19" t="n">
        <v>0.688</v>
      </c>
    </row>
    <row r="15" customFormat="false" ht="15" hidden="false" customHeight="false" outlineLevel="0" collapsed="false">
      <c r="A15" s="13" t="s">
        <v>110</v>
      </c>
      <c r="B15" s="14" t="n">
        <v>3737465</v>
      </c>
      <c r="C15" s="14" t="n">
        <v>2344582</v>
      </c>
      <c r="D15" s="14" t="n">
        <v>9713730</v>
      </c>
      <c r="E15" s="14" t="n">
        <v>15795777</v>
      </c>
      <c r="F15" s="15"/>
      <c r="H15" s="5"/>
      <c r="I15" s="13" t="s">
        <v>19</v>
      </c>
      <c r="J15" s="14" t="n">
        <v>171937</v>
      </c>
      <c r="K15" s="16" t="n">
        <v>0.017</v>
      </c>
      <c r="L15" s="14" t="n">
        <v>321431</v>
      </c>
      <c r="M15" s="16" t="n">
        <v>0.01</v>
      </c>
      <c r="N15" s="14" t="n">
        <v>493368</v>
      </c>
      <c r="O15" s="5"/>
      <c r="P15" s="15"/>
      <c r="Q15" s="16" t="n">
        <v>0.348</v>
      </c>
      <c r="R15" s="16" t="n">
        <v>0.652</v>
      </c>
    </row>
    <row r="16" customFormat="false" ht="15" hidden="false" customHeight="false" outlineLevel="0" collapsed="false">
      <c r="A16" s="13" t="s">
        <v>30</v>
      </c>
      <c r="B16" s="14" t="n">
        <v>819405</v>
      </c>
      <c r="C16" s="14" t="n">
        <v>1833436</v>
      </c>
      <c r="D16" s="14" t="n">
        <v>0</v>
      </c>
      <c r="E16" s="14" t="n">
        <v>2652841</v>
      </c>
      <c r="F16" s="15"/>
      <c r="H16" s="5"/>
      <c r="I16" s="13" t="s">
        <v>20</v>
      </c>
      <c r="J16" s="14" t="n">
        <v>337124</v>
      </c>
      <c r="K16" s="16" t="n">
        <v>0.033</v>
      </c>
      <c r="L16" s="14" t="n">
        <v>801725</v>
      </c>
      <c r="M16" s="16" t="n">
        <v>0.026</v>
      </c>
      <c r="N16" s="14" t="n">
        <v>1138849</v>
      </c>
      <c r="O16" s="5"/>
      <c r="P16" s="15"/>
      <c r="Q16" s="16" t="n">
        <v>0.296</v>
      </c>
      <c r="R16" s="16" t="n">
        <v>0.704</v>
      </c>
    </row>
    <row r="17" customFormat="false" ht="15" hidden="false" customHeight="false" outlineLevel="0" collapsed="false">
      <c r="A17" s="13" t="s">
        <v>31</v>
      </c>
      <c r="B17" s="14" t="n">
        <v>91149</v>
      </c>
      <c r="C17" s="14" t="n">
        <v>193010</v>
      </c>
      <c r="D17" s="14" t="n">
        <v>0</v>
      </c>
      <c r="E17" s="14" t="n">
        <v>284159</v>
      </c>
      <c r="F17" s="15"/>
      <c r="H17" s="5"/>
      <c r="I17" s="13" t="s">
        <v>21</v>
      </c>
      <c r="J17" s="14" t="n">
        <v>5387897</v>
      </c>
      <c r="K17" s="16" t="n">
        <v>0.523</v>
      </c>
      <c r="L17" s="14" t="n">
        <v>10407880</v>
      </c>
      <c r="M17" s="16" t="n">
        <v>0.339</v>
      </c>
      <c r="N17" s="14" t="n">
        <v>15795777</v>
      </c>
      <c r="O17" s="14" t="n">
        <v>15795777</v>
      </c>
      <c r="P17" s="15" t="s">
        <v>102</v>
      </c>
      <c r="Q17" s="16" t="n">
        <v>0.341</v>
      </c>
      <c r="R17" s="16" t="n">
        <v>0.659</v>
      </c>
    </row>
    <row r="18" customFormat="false" ht="15" hidden="false" customHeight="false" outlineLevel="0" collapsed="false">
      <c r="A18" s="13" t="s">
        <v>32</v>
      </c>
      <c r="B18" s="14" t="n">
        <v>220294</v>
      </c>
      <c r="C18" s="14" t="n">
        <v>0</v>
      </c>
      <c r="D18" s="14" t="n">
        <v>0</v>
      </c>
      <c r="E18" s="14" t="n">
        <v>220294</v>
      </c>
      <c r="F18" s="15"/>
      <c r="H18" s="5"/>
      <c r="I18" s="13" t="s">
        <v>22</v>
      </c>
      <c r="J18" s="14" t="n">
        <v>0</v>
      </c>
      <c r="K18" s="16" t="n">
        <v>0</v>
      </c>
      <c r="L18" s="14" t="n">
        <v>0</v>
      </c>
      <c r="M18" s="16" t="n">
        <v>0</v>
      </c>
      <c r="N18" s="14" t="n">
        <v>0</v>
      </c>
      <c r="O18" s="14" t="n">
        <v>0</v>
      </c>
      <c r="P18" s="18" t="n">
        <v>2</v>
      </c>
      <c r="Q18" s="22" t="s">
        <v>111</v>
      </c>
      <c r="R18" s="22" t="s">
        <v>111</v>
      </c>
    </row>
    <row r="19" customFormat="false" ht="15" hidden="false" customHeight="false" outlineLevel="0" collapsed="false">
      <c r="A19" s="13" t="s">
        <v>33</v>
      </c>
      <c r="B19" s="14" t="n">
        <v>1044522</v>
      </c>
      <c r="C19" s="14" t="n">
        <v>0</v>
      </c>
      <c r="D19" s="14" t="n">
        <v>0</v>
      </c>
      <c r="E19" s="14" t="n">
        <v>1044522</v>
      </c>
      <c r="F19" s="15"/>
      <c r="H19" s="5"/>
      <c r="I19" s="13" t="s">
        <v>23</v>
      </c>
      <c r="J19" s="14" t="n">
        <v>0</v>
      </c>
      <c r="K19" s="16" t="n">
        <v>0</v>
      </c>
      <c r="L19" s="14" t="n">
        <v>0</v>
      </c>
      <c r="M19" s="16" t="n">
        <v>0</v>
      </c>
      <c r="N19" s="14" t="n">
        <v>0</v>
      </c>
      <c r="O19" s="14" t="n">
        <v>0</v>
      </c>
      <c r="P19" s="18" t="n">
        <v>2</v>
      </c>
      <c r="Q19" s="22" t="s">
        <v>111</v>
      </c>
      <c r="R19" s="22" t="s">
        <v>111</v>
      </c>
    </row>
    <row r="20" customFormat="false" ht="15" hidden="false" customHeight="false" outlineLevel="0" collapsed="false">
      <c r="A20" s="13" t="s">
        <v>34</v>
      </c>
      <c r="B20" s="14" t="n">
        <v>128800</v>
      </c>
      <c r="C20" s="14" t="n">
        <v>0</v>
      </c>
      <c r="D20" s="14" t="n">
        <v>0</v>
      </c>
      <c r="E20" s="14" t="n">
        <v>128800</v>
      </c>
      <c r="F20" s="15"/>
      <c r="H20" s="5"/>
      <c r="I20" s="13" t="s">
        <v>24</v>
      </c>
      <c r="J20" s="14" t="n">
        <v>25111</v>
      </c>
      <c r="K20" s="16" t="n">
        <v>0.002</v>
      </c>
      <c r="L20" s="14" t="n">
        <v>60526</v>
      </c>
      <c r="M20" s="16" t="n">
        <v>0.002</v>
      </c>
      <c r="N20" s="14" t="n">
        <v>85637</v>
      </c>
      <c r="O20" s="14" t="n">
        <v>85637</v>
      </c>
      <c r="P20" s="18" t="n">
        <v>2</v>
      </c>
      <c r="Q20" s="16" t="n">
        <v>0.293</v>
      </c>
      <c r="R20" s="16" t="n">
        <v>0.707</v>
      </c>
    </row>
    <row r="21" customFormat="false" ht="15" hidden="false" customHeight="false" outlineLevel="0" collapsed="false">
      <c r="A21" s="13" t="s">
        <v>35</v>
      </c>
      <c r="B21" s="14" t="n">
        <v>25900</v>
      </c>
      <c r="C21" s="14" t="n">
        <v>274492</v>
      </c>
      <c r="D21" s="14" t="n">
        <v>297000</v>
      </c>
      <c r="E21" s="14" t="n">
        <v>597392</v>
      </c>
      <c r="F21" s="15"/>
      <c r="H21" s="5"/>
      <c r="I21" s="13" t="s">
        <v>25</v>
      </c>
      <c r="J21" s="14" t="n">
        <v>0</v>
      </c>
      <c r="K21" s="16" t="n">
        <v>0</v>
      </c>
      <c r="L21" s="14" t="n">
        <v>0</v>
      </c>
      <c r="M21" s="16" t="n">
        <v>0</v>
      </c>
      <c r="N21" s="14" t="n">
        <v>0</v>
      </c>
      <c r="O21" s="14" t="n">
        <v>0</v>
      </c>
      <c r="P21" s="18" t="n">
        <v>4</v>
      </c>
      <c r="Q21" s="22" t="s">
        <v>111</v>
      </c>
      <c r="R21" s="22" t="s">
        <v>111</v>
      </c>
    </row>
    <row r="22" customFormat="false" ht="15" hidden="false" customHeight="false" outlineLevel="0" collapsed="false">
      <c r="A22" s="13" t="s">
        <v>36</v>
      </c>
      <c r="B22" s="14" t="n">
        <v>0</v>
      </c>
      <c r="C22" s="14" t="n">
        <v>2392400</v>
      </c>
      <c r="D22" s="14" t="n">
        <v>0</v>
      </c>
      <c r="E22" s="14" t="n">
        <v>2392400</v>
      </c>
      <c r="F22" s="15"/>
      <c r="H22" s="5"/>
      <c r="I22" s="13" t="s">
        <v>26</v>
      </c>
      <c r="J22" s="14" t="n">
        <v>0</v>
      </c>
      <c r="K22" s="16" t="n">
        <v>0</v>
      </c>
      <c r="L22" s="14" t="n">
        <v>0</v>
      </c>
      <c r="M22" s="16" t="n">
        <v>0</v>
      </c>
      <c r="N22" s="14" t="n">
        <v>0</v>
      </c>
      <c r="O22" s="14" t="n">
        <v>0</v>
      </c>
      <c r="P22" s="18" t="n">
        <v>0</v>
      </c>
      <c r="Q22" s="22" t="s">
        <v>111</v>
      </c>
      <c r="R22" s="22" t="s">
        <v>111</v>
      </c>
    </row>
    <row r="23" customFormat="false" ht="15" hidden="false" customHeight="false" outlineLevel="0" collapsed="false">
      <c r="A23" s="13" t="s">
        <v>39</v>
      </c>
      <c r="B23" s="14" t="n">
        <v>181940</v>
      </c>
      <c r="C23" s="14" t="n">
        <v>761120</v>
      </c>
      <c r="D23" s="14" t="n">
        <v>1676246</v>
      </c>
      <c r="E23" s="14" t="n">
        <v>2619306</v>
      </c>
      <c r="F23" s="15"/>
      <c r="H23" s="21" t="s">
        <v>27</v>
      </c>
      <c r="I23" s="9" t="s">
        <v>28</v>
      </c>
      <c r="J23" s="11" t="n">
        <v>5413008</v>
      </c>
      <c r="K23" s="19" t="n">
        <v>0.525</v>
      </c>
      <c r="L23" s="11" t="n">
        <v>10468406</v>
      </c>
      <c r="M23" s="19" t="n">
        <v>0.341</v>
      </c>
      <c r="N23" s="11" t="n">
        <v>15881414</v>
      </c>
      <c r="O23" s="11" t="n">
        <v>15881414</v>
      </c>
      <c r="P23" s="20"/>
      <c r="Q23" s="19" t="n">
        <v>0.341</v>
      </c>
      <c r="R23" s="19" t="n">
        <v>0.659</v>
      </c>
    </row>
    <row r="24" customFormat="false" ht="15" hidden="false" customHeight="false" outlineLevel="0" collapsed="false">
      <c r="A24" s="13" t="s">
        <v>112</v>
      </c>
      <c r="B24" s="14" t="n">
        <v>135248</v>
      </c>
      <c r="C24" s="14" t="n">
        <v>85200</v>
      </c>
      <c r="D24" s="14" t="n">
        <v>3200</v>
      </c>
      <c r="E24" s="14" t="n">
        <v>223648</v>
      </c>
      <c r="F24" s="15"/>
      <c r="H24" s="21" t="s">
        <v>17</v>
      </c>
      <c r="I24" s="9" t="s">
        <v>29</v>
      </c>
      <c r="J24" s="11" t="n">
        <v>2380532</v>
      </c>
      <c r="K24" s="19" t="n">
        <v>0.231</v>
      </c>
      <c r="L24" s="11" t="n">
        <v>4939876</v>
      </c>
      <c r="M24" s="19" t="n">
        <v>0.161</v>
      </c>
      <c r="N24" s="11" t="n">
        <v>7320408</v>
      </c>
      <c r="O24" s="11" t="n">
        <v>7320408</v>
      </c>
      <c r="P24" s="20"/>
      <c r="Q24" s="19" t="n">
        <v>0.325</v>
      </c>
      <c r="R24" s="19" t="n">
        <v>0.675</v>
      </c>
    </row>
    <row r="25" customFormat="false" ht="15" hidden="false" customHeight="false" outlineLevel="0" collapsed="false">
      <c r="F25" s="23"/>
      <c r="H25" s="5"/>
      <c r="I25" s="13" t="s">
        <v>30</v>
      </c>
      <c r="J25" s="14" t="n">
        <v>819405</v>
      </c>
      <c r="K25" s="16" t="n">
        <v>0.079</v>
      </c>
      <c r="L25" s="14" t="n">
        <v>1833436</v>
      </c>
      <c r="M25" s="16" t="n">
        <v>0.06</v>
      </c>
      <c r="N25" s="14" t="n">
        <v>2652841</v>
      </c>
      <c r="O25" s="5"/>
      <c r="P25" s="15"/>
      <c r="Q25" s="16" t="n">
        <v>0.309</v>
      </c>
      <c r="R25" s="16" t="n">
        <v>0.691</v>
      </c>
    </row>
    <row r="26" customFormat="false" ht="15" hidden="false" customHeight="false" outlineLevel="0" collapsed="false">
      <c r="A26" s="24" t="s">
        <v>113</v>
      </c>
      <c r="B26" s="25" t="s">
        <v>92</v>
      </c>
      <c r="C26" s="25" t="s">
        <v>93</v>
      </c>
      <c r="D26" s="25" t="s">
        <v>96</v>
      </c>
      <c r="E26" s="25" t="s">
        <v>95</v>
      </c>
      <c r="F26" s="23"/>
      <c r="H26" s="5"/>
      <c r="I26" s="13" t="s">
        <v>31</v>
      </c>
      <c r="J26" s="14" t="n">
        <v>91149</v>
      </c>
      <c r="K26" s="16" t="n">
        <v>0.009</v>
      </c>
      <c r="L26" s="14" t="n">
        <v>193010</v>
      </c>
      <c r="M26" s="16" t="n">
        <v>0.006</v>
      </c>
      <c r="N26" s="14" t="n">
        <v>284159</v>
      </c>
      <c r="O26" s="5"/>
      <c r="P26" s="15"/>
      <c r="Q26" s="16" t="n">
        <v>0.321</v>
      </c>
      <c r="R26" s="16" t="n">
        <v>0.679</v>
      </c>
    </row>
    <row r="27" customFormat="false" ht="15" hidden="false" customHeight="false" outlineLevel="0" collapsed="false">
      <c r="A27" s="13" t="s">
        <v>101</v>
      </c>
      <c r="B27" s="14" t="n">
        <v>10370303</v>
      </c>
      <c r="C27" s="14" t="n">
        <v>30390251</v>
      </c>
      <c r="D27" s="14" t="n">
        <v>4</v>
      </c>
      <c r="E27" s="14" t="n">
        <v>40760554</v>
      </c>
      <c r="F27" s="23"/>
      <c r="H27" s="5"/>
      <c r="I27" s="13" t="s">
        <v>32</v>
      </c>
      <c r="J27" s="14" t="n">
        <v>220294</v>
      </c>
      <c r="K27" s="16" t="n">
        <v>0.021</v>
      </c>
      <c r="L27" s="14" t="n">
        <v>0</v>
      </c>
      <c r="M27" s="16" t="n">
        <v>0</v>
      </c>
      <c r="N27" s="14" t="n">
        <v>220294</v>
      </c>
      <c r="O27" s="5"/>
      <c r="P27" s="15"/>
      <c r="Q27" s="16" t="n">
        <v>1</v>
      </c>
      <c r="R27" s="16" t="n">
        <v>0</v>
      </c>
    </row>
    <row r="28" customFormat="false" ht="15" hidden="false" customHeight="false" outlineLevel="0" collapsed="false">
      <c r="A28" s="13" t="s">
        <v>104</v>
      </c>
      <c r="B28" s="14" t="n">
        <v>20</v>
      </c>
      <c r="C28" s="14" t="n">
        <v>47</v>
      </c>
      <c r="D28" s="14" t="n">
        <v>4</v>
      </c>
      <c r="E28" s="14" t="n">
        <v>67</v>
      </c>
      <c r="F28" s="23"/>
      <c r="H28" s="5"/>
      <c r="I28" s="13" t="s">
        <v>33</v>
      </c>
      <c r="J28" s="14" t="n">
        <v>1044522</v>
      </c>
      <c r="K28" s="16" t="n">
        <v>0.101</v>
      </c>
      <c r="L28" s="14" t="n">
        <v>0</v>
      </c>
      <c r="M28" s="16" t="n">
        <v>0</v>
      </c>
      <c r="N28" s="14" t="n">
        <v>1044522</v>
      </c>
      <c r="O28" s="5"/>
      <c r="P28" s="15"/>
      <c r="Q28" s="16" t="n">
        <v>1</v>
      </c>
      <c r="R28" s="16" t="n">
        <v>0</v>
      </c>
    </row>
    <row r="29" customFormat="false" ht="15" hidden="false" customHeight="false" outlineLevel="0" collapsed="false">
      <c r="A29" s="13" t="s">
        <v>106</v>
      </c>
      <c r="B29" s="14" t="n">
        <v>54</v>
      </c>
      <c r="C29" s="14" t="n">
        <v>84</v>
      </c>
      <c r="D29" s="14" t="n">
        <v>3</v>
      </c>
      <c r="E29" s="14" t="n">
        <v>138</v>
      </c>
      <c r="F29" s="23"/>
      <c r="H29" s="5"/>
      <c r="I29" s="13" t="s">
        <v>34</v>
      </c>
      <c r="J29" s="14" t="n">
        <v>128800</v>
      </c>
      <c r="K29" s="16" t="n">
        <v>0.012</v>
      </c>
      <c r="L29" s="14" t="n">
        <v>0</v>
      </c>
      <c r="M29" s="16" t="n">
        <v>0</v>
      </c>
      <c r="N29" s="14" t="n">
        <v>128800</v>
      </c>
      <c r="O29" s="5"/>
      <c r="P29" s="15"/>
      <c r="Q29" s="16" t="n">
        <v>1</v>
      </c>
      <c r="R29" s="16" t="n">
        <v>0</v>
      </c>
    </row>
    <row r="30" customFormat="false" ht="15" hidden="false" customHeight="false" outlineLevel="0" collapsed="false">
      <c r="A30" s="13" t="s">
        <v>108</v>
      </c>
      <c r="B30" s="14" t="n">
        <v>97062</v>
      </c>
      <c r="C30" s="14" t="n">
        <v>474203</v>
      </c>
      <c r="D30" s="14" t="n">
        <v>4</v>
      </c>
      <c r="E30" s="14" t="n">
        <v>571265</v>
      </c>
      <c r="F30" s="23"/>
      <c r="H30" s="5"/>
      <c r="I30" s="13" t="s">
        <v>35</v>
      </c>
      <c r="J30" s="14" t="n">
        <v>76362</v>
      </c>
      <c r="K30" s="16" t="n">
        <v>0.007</v>
      </c>
      <c r="L30" s="14" t="n">
        <v>521030</v>
      </c>
      <c r="M30" s="16" t="n">
        <v>0.017</v>
      </c>
      <c r="N30" s="14" t="n">
        <v>597392</v>
      </c>
      <c r="O30" s="5"/>
      <c r="P30" s="15"/>
      <c r="Q30" s="16" t="n">
        <v>0.128</v>
      </c>
      <c r="R30" s="16" t="n">
        <v>0.872</v>
      </c>
    </row>
    <row r="31" customFormat="false" ht="15" hidden="false" customHeight="false" outlineLevel="0" collapsed="false">
      <c r="A31" s="13" t="s">
        <v>19</v>
      </c>
      <c r="B31" s="14" t="n">
        <v>171937</v>
      </c>
      <c r="C31" s="14" t="n">
        <v>321431</v>
      </c>
      <c r="D31" s="14" t="n">
        <v>4</v>
      </c>
      <c r="E31" s="14" t="n">
        <v>493368</v>
      </c>
      <c r="F31" s="23"/>
      <c r="H31" s="5"/>
      <c r="I31" s="13" t="s">
        <v>36</v>
      </c>
      <c r="J31" s="14" t="n">
        <v>0</v>
      </c>
      <c r="K31" s="16" t="n">
        <v>0</v>
      </c>
      <c r="L31" s="14" t="n">
        <v>2392400</v>
      </c>
      <c r="M31" s="16" t="n">
        <v>0.078</v>
      </c>
      <c r="N31" s="14" t="n">
        <v>2392400</v>
      </c>
      <c r="O31" s="5"/>
      <c r="P31" s="15"/>
      <c r="Q31" s="16" t="n">
        <v>0</v>
      </c>
      <c r="R31" s="16" t="n">
        <v>1</v>
      </c>
    </row>
    <row r="32" customFormat="false" ht="15" hidden="false" customHeight="false" outlineLevel="0" collapsed="false">
      <c r="A32" s="13" t="s">
        <v>20</v>
      </c>
      <c r="B32" s="14" t="n">
        <v>337124</v>
      </c>
      <c r="C32" s="14" t="n">
        <v>801725</v>
      </c>
      <c r="D32" s="14" t="n">
        <v>4</v>
      </c>
      <c r="E32" s="14" t="n">
        <v>1138849</v>
      </c>
      <c r="F32" s="23"/>
      <c r="H32" s="5" t="s">
        <v>17</v>
      </c>
      <c r="I32" s="13" t="s">
        <v>37</v>
      </c>
      <c r="J32" s="14" t="n">
        <v>212721</v>
      </c>
      <c r="K32" s="16" t="n">
        <v>0.021</v>
      </c>
      <c r="L32" s="14" t="n">
        <v>1039262</v>
      </c>
      <c r="M32" s="16" t="n">
        <v>0.034</v>
      </c>
      <c r="N32" s="14" t="n">
        <v>1251983</v>
      </c>
      <c r="O32" s="14" t="n">
        <v>1251983</v>
      </c>
      <c r="P32" s="18" t="n">
        <v>4</v>
      </c>
      <c r="Q32" s="16" t="n">
        <v>0.17</v>
      </c>
      <c r="R32" s="16" t="n">
        <v>0.83</v>
      </c>
    </row>
    <row r="33" customFormat="false" ht="15" hidden="false" customHeight="false" outlineLevel="0" collapsed="false">
      <c r="A33" s="13" t="s">
        <v>110</v>
      </c>
      <c r="B33" s="14" t="n">
        <v>5387897</v>
      </c>
      <c r="C33" s="14" t="n">
        <v>10407880</v>
      </c>
      <c r="D33" s="14" t="n">
        <v>4</v>
      </c>
      <c r="E33" s="14" t="n">
        <v>15795777</v>
      </c>
      <c r="F33" s="23"/>
      <c r="H33" s="5" t="s">
        <v>27</v>
      </c>
      <c r="I33" s="13" t="s">
        <v>38</v>
      </c>
      <c r="J33" s="14" t="n">
        <v>110903</v>
      </c>
      <c r="K33" s="16" t="n">
        <v>0.011</v>
      </c>
      <c r="L33" s="14" t="n">
        <v>110903</v>
      </c>
      <c r="M33" s="16" t="n">
        <v>0.004</v>
      </c>
      <c r="N33" s="14" t="n">
        <v>221806</v>
      </c>
      <c r="O33" s="14" t="n">
        <v>221806</v>
      </c>
      <c r="P33" s="18" t="n">
        <v>0</v>
      </c>
      <c r="Q33" s="16" t="n">
        <v>0.5</v>
      </c>
      <c r="R33" s="16" t="n">
        <v>0.5</v>
      </c>
    </row>
    <row r="34" customFormat="false" ht="15" hidden="false" customHeight="false" outlineLevel="0" collapsed="false">
      <c r="A34" s="13" t="s">
        <v>30</v>
      </c>
      <c r="B34" s="14" t="n">
        <v>819405</v>
      </c>
      <c r="C34" s="14" t="n">
        <v>1833436</v>
      </c>
      <c r="D34" s="14" t="n">
        <v>4</v>
      </c>
      <c r="E34" s="14" t="n">
        <v>2652841</v>
      </c>
      <c r="F34" s="23"/>
      <c r="H34" s="5" t="s">
        <v>17</v>
      </c>
      <c r="I34" s="13" t="s">
        <v>39</v>
      </c>
      <c r="J34" s="14" t="n">
        <v>466746</v>
      </c>
      <c r="K34" s="16" t="n">
        <v>0.045</v>
      </c>
      <c r="L34" s="14" t="n">
        <v>2152560</v>
      </c>
      <c r="M34" s="16" t="n">
        <v>0.07</v>
      </c>
      <c r="N34" s="14" t="n">
        <v>2619306</v>
      </c>
      <c r="O34" s="14" t="n">
        <v>2619306</v>
      </c>
      <c r="P34" s="15" t="s">
        <v>102</v>
      </c>
      <c r="Q34" s="16" t="n">
        <v>0.178</v>
      </c>
      <c r="R34" s="16" t="n">
        <v>0.822</v>
      </c>
    </row>
    <row r="35" customFormat="false" ht="15" hidden="false" customHeight="false" outlineLevel="0" collapsed="false">
      <c r="A35" s="13" t="s">
        <v>31</v>
      </c>
      <c r="B35" s="14" t="n">
        <v>91149</v>
      </c>
      <c r="C35" s="14" t="n">
        <v>193010</v>
      </c>
      <c r="D35" s="14" t="n">
        <v>4</v>
      </c>
      <c r="E35" s="14" t="n">
        <v>284159</v>
      </c>
      <c r="F35" s="23"/>
      <c r="H35" s="5" t="s">
        <v>27</v>
      </c>
      <c r="I35" s="13" t="s">
        <v>40</v>
      </c>
      <c r="J35" s="14" t="n">
        <v>2549697</v>
      </c>
      <c r="K35" s="16" t="n">
        <v>0.247</v>
      </c>
      <c r="L35" s="14" t="n">
        <v>5042546</v>
      </c>
      <c r="M35" s="16" t="n">
        <v>0.164</v>
      </c>
      <c r="N35" s="14" t="n">
        <v>7592243</v>
      </c>
      <c r="O35" s="14" t="n">
        <v>0</v>
      </c>
      <c r="P35" s="15" t="s">
        <v>102</v>
      </c>
      <c r="Q35" s="16" t="n">
        <v>0.336</v>
      </c>
      <c r="R35" s="16" t="n">
        <v>0.664</v>
      </c>
    </row>
    <row r="36" customFormat="false" ht="15" hidden="false" customHeight="false" outlineLevel="0" collapsed="false">
      <c r="A36" s="13" t="s">
        <v>32</v>
      </c>
      <c r="B36" s="14" t="n">
        <v>220294</v>
      </c>
      <c r="C36" s="14" t="n">
        <v>0</v>
      </c>
      <c r="D36" s="14" t="n">
        <v>4</v>
      </c>
      <c r="E36" s="14" t="n">
        <v>220294</v>
      </c>
      <c r="F36" s="23"/>
      <c r="H36" s="5" t="s">
        <v>17</v>
      </c>
      <c r="I36" s="13" t="s">
        <v>41</v>
      </c>
      <c r="J36" s="14" t="n">
        <v>30378</v>
      </c>
      <c r="K36" s="16" t="n">
        <v>0.003</v>
      </c>
      <c r="L36" s="14" t="n">
        <v>148412</v>
      </c>
      <c r="M36" s="16" t="n">
        <v>0.005</v>
      </c>
      <c r="N36" s="14" t="n">
        <v>178790</v>
      </c>
      <c r="O36" s="14" t="n">
        <v>178790</v>
      </c>
      <c r="P36" s="18" t="n">
        <v>4</v>
      </c>
      <c r="Q36" s="16" t="n">
        <v>0.17</v>
      </c>
      <c r="R36" s="16" t="n">
        <v>0.83</v>
      </c>
    </row>
    <row r="37" customFormat="false" ht="15" hidden="false" customHeight="false" outlineLevel="0" collapsed="false">
      <c r="A37" s="13" t="s">
        <v>33</v>
      </c>
      <c r="B37" s="14" t="n">
        <v>1044522</v>
      </c>
      <c r="C37" s="14" t="n">
        <v>0</v>
      </c>
      <c r="D37" s="14" t="n">
        <v>4</v>
      </c>
      <c r="E37" s="14" t="n">
        <v>1044522</v>
      </c>
      <c r="F37" s="23"/>
      <c r="H37" s="5" t="s">
        <v>27</v>
      </c>
      <c r="I37" s="13" t="s">
        <v>42</v>
      </c>
      <c r="J37" s="14" t="n">
        <v>45853</v>
      </c>
      <c r="K37" s="16" t="n">
        <v>0.004</v>
      </c>
      <c r="L37" s="14" t="n">
        <v>224016</v>
      </c>
      <c r="M37" s="16" t="n">
        <v>0.007</v>
      </c>
      <c r="N37" s="14" t="n">
        <v>269869</v>
      </c>
      <c r="O37" s="14" t="n">
        <v>269869</v>
      </c>
      <c r="P37" s="18" t="n">
        <v>4</v>
      </c>
      <c r="Q37" s="16" t="n">
        <v>0.17</v>
      </c>
      <c r="R37" s="16" t="n">
        <v>0.83</v>
      </c>
    </row>
    <row r="38" customFormat="false" ht="15" hidden="false" customHeight="false" outlineLevel="0" collapsed="false">
      <c r="A38" s="13" t="s">
        <v>34</v>
      </c>
      <c r="B38" s="14" t="n">
        <v>128800</v>
      </c>
      <c r="C38" s="14" t="n">
        <v>0</v>
      </c>
      <c r="D38" s="14" t="n">
        <v>4</v>
      </c>
      <c r="E38" s="14" t="n">
        <v>128800</v>
      </c>
      <c r="F38" s="23"/>
      <c r="H38" s="5" t="s">
        <v>27</v>
      </c>
      <c r="I38" s="13" t="s">
        <v>43</v>
      </c>
      <c r="J38" s="14" t="n">
        <v>6219</v>
      </c>
      <c r="K38" s="16" t="n">
        <v>0.001</v>
      </c>
      <c r="L38" s="14" t="n">
        <v>30381</v>
      </c>
      <c r="M38" s="16" t="n">
        <v>0.001</v>
      </c>
      <c r="N38" s="14" t="n">
        <v>36600</v>
      </c>
      <c r="O38" s="14" t="n">
        <v>36600</v>
      </c>
      <c r="P38" s="18" t="n">
        <v>4</v>
      </c>
      <c r="Q38" s="16" t="n">
        <v>0.17</v>
      </c>
      <c r="R38" s="16" t="n">
        <v>0.83</v>
      </c>
    </row>
    <row r="39" customFormat="false" ht="15" hidden="false" customHeight="false" outlineLevel="0" collapsed="false">
      <c r="A39" s="13" t="s">
        <v>35</v>
      </c>
      <c r="B39" s="14" t="n">
        <v>76362</v>
      </c>
      <c r="C39" s="14" t="n">
        <v>521030</v>
      </c>
      <c r="D39" s="14" t="n">
        <v>4</v>
      </c>
      <c r="E39" s="14" t="n">
        <v>597392</v>
      </c>
      <c r="F39" s="23"/>
      <c r="H39" s="5" t="s">
        <v>27</v>
      </c>
      <c r="I39" s="13" t="s">
        <v>44</v>
      </c>
      <c r="J39" s="14" t="n">
        <v>44600</v>
      </c>
      <c r="K39" s="16" t="n">
        <v>0.004</v>
      </c>
      <c r="L39" s="14" t="n">
        <v>130700</v>
      </c>
      <c r="M39" s="16" t="n">
        <v>0.004</v>
      </c>
      <c r="N39" s="14" t="n">
        <v>175300</v>
      </c>
      <c r="O39" s="14" t="n">
        <v>175300</v>
      </c>
      <c r="P39" s="18" t="n">
        <v>1</v>
      </c>
      <c r="Q39" s="16" t="n">
        <v>0.254</v>
      </c>
      <c r="R39" s="16" t="n">
        <v>0.746</v>
      </c>
    </row>
    <row r="40" customFormat="false" ht="15" hidden="false" customHeight="false" outlineLevel="0" collapsed="false">
      <c r="A40" s="13" t="s">
        <v>36</v>
      </c>
      <c r="B40" s="14" t="n">
        <v>0</v>
      </c>
      <c r="C40" s="14" t="n">
        <v>2392400</v>
      </c>
      <c r="D40" s="14" t="n">
        <v>4</v>
      </c>
      <c r="E40" s="14" t="n">
        <v>2392400</v>
      </c>
      <c r="F40" s="23"/>
      <c r="H40" s="5" t="s">
        <v>17</v>
      </c>
      <c r="I40" s="13" t="s">
        <v>45</v>
      </c>
      <c r="J40" s="14" t="n">
        <v>33737</v>
      </c>
      <c r="K40" s="16" t="n">
        <v>0.003</v>
      </c>
      <c r="L40" s="14" t="n">
        <v>164824</v>
      </c>
      <c r="M40" s="16" t="n">
        <v>0.005</v>
      </c>
      <c r="N40" s="14" t="n">
        <v>198561</v>
      </c>
      <c r="O40" s="14" t="n">
        <v>198561</v>
      </c>
      <c r="P40" s="18" t="n">
        <v>4</v>
      </c>
      <c r="Q40" s="16" t="n">
        <v>0.17</v>
      </c>
      <c r="R40" s="16" t="n">
        <v>0.83</v>
      </c>
    </row>
    <row r="41" customFormat="false" ht="15" hidden="false" customHeight="false" outlineLevel="0" collapsed="false">
      <c r="A41" s="13" t="s">
        <v>39</v>
      </c>
      <c r="B41" s="14" t="n">
        <v>466746</v>
      </c>
      <c r="C41" s="14" t="n">
        <v>2152560</v>
      </c>
      <c r="D41" s="14" t="n">
        <v>4</v>
      </c>
      <c r="E41" s="14" t="n">
        <v>2619306</v>
      </c>
      <c r="F41" s="23"/>
      <c r="H41" s="5" t="s">
        <v>17</v>
      </c>
      <c r="I41" s="13" t="s">
        <v>46</v>
      </c>
      <c r="J41" s="14" t="n">
        <v>11537</v>
      </c>
      <c r="K41" s="16" t="n">
        <v>0.001</v>
      </c>
      <c r="L41" s="14" t="n">
        <v>56363</v>
      </c>
      <c r="M41" s="16" t="n">
        <v>0.002</v>
      </c>
      <c r="N41" s="14" t="n">
        <v>67900</v>
      </c>
      <c r="O41" s="14" t="n">
        <v>67900</v>
      </c>
      <c r="P41" s="18" t="n">
        <v>4</v>
      </c>
      <c r="Q41" s="16" t="n">
        <v>0.17</v>
      </c>
      <c r="R41" s="16" t="n">
        <v>0.83</v>
      </c>
    </row>
    <row r="42" customFormat="false" ht="15" hidden="false" customHeight="false" outlineLevel="0" collapsed="false">
      <c r="A42" s="13" t="s">
        <v>112</v>
      </c>
      <c r="B42" s="14" t="n">
        <v>135792</v>
      </c>
      <c r="C42" s="14" t="n">
        <v>87856</v>
      </c>
      <c r="D42" s="14" t="n">
        <v>4</v>
      </c>
      <c r="E42" s="14" t="n">
        <v>223648</v>
      </c>
      <c r="F42" s="23"/>
      <c r="H42" s="5" t="s">
        <v>17</v>
      </c>
      <c r="I42" s="13" t="s">
        <v>47</v>
      </c>
      <c r="J42" s="14" t="n">
        <v>50817</v>
      </c>
      <c r="K42" s="16" t="n">
        <v>0.005</v>
      </c>
      <c r="L42" s="14" t="n">
        <v>248271</v>
      </c>
      <c r="M42" s="16" t="n">
        <v>0.008</v>
      </c>
      <c r="N42" s="14" t="n">
        <v>299088</v>
      </c>
      <c r="O42" s="14" t="n">
        <v>299088</v>
      </c>
      <c r="P42" s="18" t="n">
        <v>4</v>
      </c>
      <c r="Q42" s="16" t="n">
        <v>0.17</v>
      </c>
      <c r="R42" s="16" t="n">
        <v>0.83</v>
      </c>
    </row>
    <row r="43" customFormat="false" ht="15" hidden="false" customHeight="false" outlineLevel="0" collapsed="false">
      <c r="F43" s="23"/>
      <c r="H43" s="5" t="s">
        <v>27</v>
      </c>
      <c r="I43" s="13" t="s">
        <v>48</v>
      </c>
      <c r="J43" s="14" t="n">
        <v>114116</v>
      </c>
      <c r="K43" s="16" t="n">
        <v>0.011</v>
      </c>
      <c r="L43" s="14" t="n">
        <v>114116</v>
      </c>
      <c r="M43" s="16" t="n">
        <v>0.004</v>
      </c>
      <c r="N43" s="14" t="n">
        <v>228232</v>
      </c>
      <c r="O43" s="14" t="n">
        <v>228232</v>
      </c>
      <c r="P43" s="18" t="n">
        <v>0</v>
      </c>
      <c r="Q43" s="16" t="n">
        <v>0.5</v>
      </c>
      <c r="R43" s="16" t="n">
        <v>0.5</v>
      </c>
    </row>
    <row r="44" customFormat="false" ht="15" hidden="false" customHeight="false" outlineLevel="0" collapsed="false">
      <c r="A44" s="26" t="s">
        <v>114</v>
      </c>
      <c r="B44" s="27" t="s">
        <v>92</v>
      </c>
      <c r="C44" s="27" t="s">
        <v>93</v>
      </c>
      <c r="D44" s="27" t="s">
        <v>95</v>
      </c>
      <c r="E44" s="27" t="s">
        <v>96</v>
      </c>
      <c r="F44" s="23"/>
      <c r="H44" s="5" t="s">
        <v>27</v>
      </c>
      <c r="I44" s="13" t="s">
        <v>49</v>
      </c>
      <c r="J44" s="14" t="n">
        <v>151950</v>
      </c>
      <c r="K44" s="16" t="n">
        <v>0.015</v>
      </c>
      <c r="L44" s="14" t="n">
        <v>151950</v>
      </c>
      <c r="M44" s="16" t="n">
        <v>0.005</v>
      </c>
      <c r="N44" s="14" t="n">
        <v>303900</v>
      </c>
      <c r="O44" s="14" t="n">
        <v>303900</v>
      </c>
      <c r="P44" s="18" t="n">
        <v>0</v>
      </c>
      <c r="Q44" s="16" t="n">
        <v>0.5</v>
      </c>
      <c r="R44" s="16" t="n">
        <v>0.5</v>
      </c>
    </row>
    <row r="45" customFormat="false" ht="15" hidden="false" customHeight="false" outlineLevel="0" collapsed="false">
      <c r="A45" s="13" t="s">
        <v>101</v>
      </c>
      <c r="B45" s="17" t="n">
        <v>0.2544</v>
      </c>
      <c r="C45" s="17" t="n">
        <v>0.7456</v>
      </c>
      <c r="D45" s="17" t="n">
        <v>1</v>
      </c>
      <c r="E45" s="14" t="n">
        <v>1</v>
      </c>
      <c r="F45" s="23"/>
      <c r="H45" s="21"/>
      <c r="I45" s="9" t="s">
        <v>50</v>
      </c>
      <c r="J45" s="11" t="n">
        <v>3829272</v>
      </c>
      <c r="K45" s="19" t="n">
        <v>0.371</v>
      </c>
      <c r="L45" s="11" t="n">
        <v>9614305</v>
      </c>
      <c r="M45" s="19" t="n">
        <v>0.313</v>
      </c>
      <c r="N45" s="11" t="n">
        <v>13443578</v>
      </c>
      <c r="O45" s="11" t="n">
        <v>5851335</v>
      </c>
      <c r="P45" s="20"/>
      <c r="Q45" s="19" t="n">
        <v>0.285</v>
      </c>
      <c r="R45" s="19" t="n">
        <v>0.715</v>
      </c>
    </row>
    <row r="46" customFormat="false" ht="15" hidden="false" customHeight="false" outlineLevel="0" collapsed="false">
      <c r="A46" s="13" t="s">
        <v>104</v>
      </c>
      <c r="B46" s="17" t="n">
        <v>0.2932</v>
      </c>
      <c r="C46" s="17" t="n">
        <v>0.7068</v>
      </c>
      <c r="D46" s="17" t="n">
        <v>1</v>
      </c>
      <c r="E46" s="14" t="n">
        <v>2</v>
      </c>
      <c r="F46" s="23"/>
      <c r="H46" s="21"/>
      <c r="I46" s="9" t="s">
        <v>51</v>
      </c>
      <c r="J46" s="11" t="n">
        <v>12131873</v>
      </c>
      <c r="K46" s="19" t="n">
        <v>1.177</v>
      </c>
      <c r="L46" s="11" t="n">
        <v>26145743</v>
      </c>
      <c r="M46" s="19" t="n">
        <v>0.852</v>
      </c>
      <c r="N46" s="11" t="n">
        <v>38277617</v>
      </c>
      <c r="O46" s="11" t="n">
        <v>30685374</v>
      </c>
      <c r="P46" s="20"/>
      <c r="Q46" s="19" t="n">
        <v>0.317</v>
      </c>
      <c r="R46" s="19" t="n">
        <v>0.683</v>
      </c>
    </row>
    <row r="47" customFormat="false" ht="15" hidden="false" customHeight="false" outlineLevel="0" collapsed="false">
      <c r="A47" s="13" t="s">
        <v>106</v>
      </c>
      <c r="B47" s="17" t="n">
        <v>0.3913</v>
      </c>
      <c r="C47" s="17" t="n">
        <v>0.6087</v>
      </c>
      <c r="D47" s="17" t="n">
        <v>1</v>
      </c>
      <c r="E47" s="14" t="n">
        <v>3</v>
      </c>
      <c r="F47" s="23"/>
      <c r="P47" s="23"/>
    </row>
    <row r="48" customFormat="false" ht="15" hidden="false" customHeight="false" outlineLevel="0" collapsed="false">
      <c r="A48" s="13" t="s">
        <v>108</v>
      </c>
      <c r="B48" s="17" t="n">
        <v>0.1699</v>
      </c>
      <c r="C48" s="17" t="n">
        <v>0.8301</v>
      </c>
      <c r="D48" s="17" t="n">
        <v>1</v>
      </c>
      <c r="E48" s="14" t="n">
        <v>4</v>
      </c>
      <c r="F48" s="23"/>
      <c r="H48" s="12"/>
      <c r="I48" s="12" t="s">
        <v>2</v>
      </c>
      <c r="J48" s="12" t="s">
        <v>92</v>
      </c>
      <c r="K48" s="12" t="s">
        <v>97</v>
      </c>
      <c r="L48" s="12" t="s">
        <v>93</v>
      </c>
      <c r="M48" s="12" t="s">
        <v>97</v>
      </c>
      <c r="N48" s="12" t="s">
        <v>98</v>
      </c>
      <c r="O48" s="12" t="s">
        <v>95</v>
      </c>
      <c r="P48" s="12" t="s">
        <v>96</v>
      </c>
      <c r="Q48" s="12" t="s">
        <v>99</v>
      </c>
      <c r="R48" s="12" t="s">
        <v>100</v>
      </c>
    </row>
    <row r="49" customFormat="false" ht="15" hidden="false" customHeight="false" outlineLevel="0" collapsed="false">
      <c r="A49" s="13" t="s">
        <v>19</v>
      </c>
      <c r="B49" s="17" t="n">
        <v>0.3485</v>
      </c>
      <c r="C49" s="17" t="n">
        <v>0.6515</v>
      </c>
      <c r="D49" s="17" t="n">
        <v>1</v>
      </c>
      <c r="E49" s="5"/>
      <c r="F49" s="23"/>
      <c r="H49" s="21"/>
      <c r="I49" s="9" t="s">
        <v>52</v>
      </c>
      <c r="J49" s="11" t="n">
        <v>12131873</v>
      </c>
      <c r="K49" s="19" t="n">
        <v>1.177</v>
      </c>
      <c r="L49" s="11" t="n">
        <v>26145743</v>
      </c>
      <c r="M49" s="19" t="n">
        <v>0.852</v>
      </c>
      <c r="N49" s="11" t="n">
        <v>38277617</v>
      </c>
      <c r="O49" s="11" t="n">
        <v>30685374</v>
      </c>
      <c r="P49" s="20" t="s">
        <v>102</v>
      </c>
      <c r="Q49" s="19" t="n">
        <v>0.317</v>
      </c>
      <c r="R49" s="19" t="n">
        <v>0.683</v>
      </c>
    </row>
    <row r="50" customFormat="false" ht="15" hidden="false" customHeight="false" outlineLevel="0" collapsed="false">
      <c r="A50" s="13" t="s">
        <v>20</v>
      </c>
      <c r="B50" s="17" t="n">
        <v>0.296</v>
      </c>
      <c r="C50" s="17" t="n">
        <v>0.704</v>
      </c>
      <c r="D50" s="17" t="n">
        <v>1</v>
      </c>
      <c r="E50" s="5"/>
      <c r="F50" s="23"/>
      <c r="H50" s="21"/>
      <c r="I50" s="9" t="s">
        <v>53</v>
      </c>
      <c r="J50" s="28" t="n">
        <v>-1820185</v>
      </c>
      <c r="K50" s="29" t="n">
        <v>-0.177</v>
      </c>
      <c r="L50" s="11" t="n">
        <v>4533705</v>
      </c>
      <c r="M50" s="19" t="n">
        <v>0.148</v>
      </c>
      <c r="N50" s="11" t="n">
        <v>2713519</v>
      </c>
      <c r="O50" s="11" t="n">
        <v>10305762</v>
      </c>
      <c r="P50" s="20"/>
      <c r="Q50" s="29" t="n">
        <v>-0.671</v>
      </c>
      <c r="R50" s="19" t="n">
        <v>1.671</v>
      </c>
    </row>
    <row r="51" customFormat="false" ht="15" hidden="false" customHeight="false" outlineLevel="0" collapsed="false">
      <c r="A51" s="13" t="s">
        <v>110</v>
      </c>
      <c r="B51" s="17" t="n">
        <v>0.3411</v>
      </c>
      <c r="C51" s="17" t="n">
        <v>0.6589</v>
      </c>
      <c r="D51" s="17" t="n">
        <v>1</v>
      </c>
      <c r="E51" s="5"/>
      <c r="F51" s="23"/>
      <c r="H51" s="5"/>
      <c r="I51" s="13" t="s">
        <v>54</v>
      </c>
      <c r="J51" s="14" t="n">
        <v>1477526</v>
      </c>
      <c r="K51" s="16" t="n">
        <v>0.143</v>
      </c>
      <c r="L51" s="14" t="n">
        <v>1477526</v>
      </c>
      <c r="M51" s="16" t="n">
        <v>0.048</v>
      </c>
      <c r="N51" s="14" t="n">
        <v>2955052</v>
      </c>
      <c r="O51" s="14" t="n">
        <v>2955052</v>
      </c>
      <c r="P51" s="18" t="n">
        <v>0</v>
      </c>
      <c r="Q51" s="16" t="n">
        <v>0.5</v>
      </c>
      <c r="R51" s="16" t="n">
        <v>0.5</v>
      </c>
    </row>
    <row r="52" customFormat="false" ht="15" hidden="false" customHeight="false" outlineLevel="0" collapsed="false">
      <c r="A52" s="13" t="s">
        <v>30</v>
      </c>
      <c r="B52" s="17" t="n">
        <v>0.3089</v>
      </c>
      <c r="C52" s="17" t="n">
        <v>0.6911</v>
      </c>
      <c r="D52" s="17" t="n">
        <v>1</v>
      </c>
      <c r="E52" s="5"/>
      <c r="F52" s="23"/>
      <c r="H52" s="5"/>
      <c r="I52" s="13" t="s">
        <v>55</v>
      </c>
      <c r="J52" s="14" t="n">
        <v>1517463</v>
      </c>
      <c r="K52" s="16" t="n">
        <v>0.147</v>
      </c>
      <c r="L52" s="14" t="n">
        <v>2360498</v>
      </c>
      <c r="M52" s="16" t="n">
        <v>0.077</v>
      </c>
      <c r="N52" s="14" t="n">
        <v>3877961</v>
      </c>
      <c r="O52" s="14" t="n">
        <v>3877961</v>
      </c>
      <c r="P52" s="18" t="n">
        <v>3</v>
      </c>
      <c r="Q52" s="16" t="n">
        <v>0.391</v>
      </c>
      <c r="R52" s="16" t="n">
        <v>0.609</v>
      </c>
    </row>
    <row r="53" customFormat="false" ht="15" hidden="false" customHeight="false" outlineLevel="0" collapsed="false">
      <c r="A53" s="13" t="s">
        <v>31</v>
      </c>
      <c r="B53" s="17" t="n">
        <v>0.3208</v>
      </c>
      <c r="C53" s="17" t="n">
        <v>0.6792</v>
      </c>
      <c r="D53" s="17" t="n">
        <v>1</v>
      </c>
      <c r="E53" s="5"/>
      <c r="F53" s="23"/>
      <c r="H53" s="5"/>
      <c r="I53" s="13" t="s">
        <v>23</v>
      </c>
      <c r="J53" s="14" t="n">
        <v>0</v>
      </c>
      <c r="K53" s="16" t="n">
        <v>0</v>
      </c>
      <c r="L53" s="14" t="n">
        <v>0</v>
      </c>
      <c r="M53" s="16" t="n">
        <v>0</v>
      </c>
      <c r="N53" s="14" t="n">
        <v>0</v>
      </c>
      <c r="O53" s="14" t="n">
        <v>0</v>
      </c>
      <c r="P53" s="18" t="n">
        <v>3</v>
      </c>
      <c r="Q53" s="22" t="s">
        <v>111</v>
      </c>
      <c r="R53" s="22" t="s">
        <v>111</v>
      </c>
    </row>
    <row r="54" customFormat="false" ht="15" hidden="false" customHeight="false" outlineLevel="0" collapsed="false">
      <c r="A54" s="13" t="s">
        <v>32</v>
      </c>
      <c r="B54" s="17" t="n">
        <v>1</v>
      </c>
      <c r="C54" s="17" t="n">
        <v>0</v>
      </c>
      <c r="D54" s="17" t="n">
        <v>1</v>
      </c>
      <c r="E54" s="5"/>
      <c r="F54" s="23"/>
      <c r="H54" s="5"/>
      <c r="I54" s="13" t="s">
        <v>24</v>
      </c>
      <c r="J54" s="14" t="n">
        <v>11639</v>
      </c>
      <c r="K54" s="16" t="n">
        <v>0.001</v>
      </c>
      <c r="L54" s="14" t="n">
        <v>18104</v>
      </c>
      <c r="M54" s="16" t="n">
        <v>0.001</v>
      </c>
      <c r="N54" s="14" t="n">
        <v>29743</v>
      </c>
      <c r="O54" s="14" t="n">
        <v>29743</v>
      </c>
      <c r="P54" s="18" t="n">
        <v>3</v>
      </c>
      <c r="Q54" s="16" t="n">
        <v>0.391</v>
      </c>
      <c r="R54" s="16" t="n">
        <v>0.609</v>
      </c>
    </row>
    <row r="55" customFormat="false" ht="15" hidden="false" customHeight="false" outlineLevel="0" collapsed="false">
      <c r="A55" s="13" t="s">
        <v>33</v>
      </c>
      <c r="B55" s="17" t="n">
        <v>1</v>
      </c>
      <c r="C55" s="17" t="n">
        <v>0</v>
      </c>
      <c r="D55" s="17" t="n">
        <v>1</v>
      </c>
      <c r="E55" s="5"/>
      <c r="F55" s="23"/>
      <c r="H55" s="5"/>
      <c r="I55" s="13" t="s">
        <v>56</v>
      </c>
      <c r="J55" s="14" t="n">
        <v>27893</v>
      </c>
      <c r="K55" s="16" t="n">
        <v>0.003</v>
      </c>
      <c r="L55" s="14" t="n">
        <v>27893</v>
      </c>
      <c r="M55" s="16" t="n">
        <v>0.001</v>
      </c>
      <c r="N55" s="14" t="n">
        <v>55785</v>
      </c>
      <c r="O55" s="14" t="n">
        <v>55785</v>
      </c>
      <c r="P55" s="18" t="n">
        <v>0</v>
      </c>
      <c r="Q55" s="16" t="n">
        <v>0.5</v>
      </c>
      <c r="R55" s="16" t="n">
        <v>0.5</v>
      </c>
    </row>
    <row r="56" customFormat="false" ht="15" hidden="false" customHeight="false" outlineLevel="0" collapsed="false">
      <c r="A56" s="13" t="s">
        <v>34</v>
      </c>
      <c r="B56" s="17" t="n">
        <v>1</v>
      </c>
      <c r="C56" s="17" t="n">
        <v>0</v>
      </c>
      <c r="D56" s="17" t="n">
        <v>1</v>
      </c>
      <c r="E56" s="5"/>
      <c r="F56" s="23"/>
      <c r="H56" s="5"/>
      <c r="I56" s="13" t="s">
        <v>57</v>
      </c>
      <c r="J56" s="14" t="n">
        <v>30623</v>
      </c>
      <c r="K56" s="16" t="n">
        <v>0.003</v>
      </c>
      <c r="L56" s="14" t="n">
        <v>47636</v>
      </c>
      <c r="M56" s="16" t="n">
        <v>0.002</v>
      </c>
      <c r="N56" s="14" t="n">
        <v>78259</v>
      </c>
      <c r="O56" s="14" t="n">
        <v>78259</v>
      </c>
      <c r="P56" s="18" t="n">
        <v>3</v>
      </c>
      <c r="Q56" s="16" t="n">
        <v>0.391</v>
      </c>
      <c r="R56" s="16" t="n">
        <v>0.609</v>
      </c>
    </row>
    <row r="57" customFormat="false" ht="15" hidden="false" customHeight="false" outlineLevel="0" collapsed="false">
      <c r="A57" s="13" t="s">
        <v>35</v>
      </c>
      <c r="B57" s="17" t="n">
        <v>0.1278</v>
      </c>
      <c r="C57" s="17" t="n">
        <v>0.8722</v>
      </c>
      <c r="D57" s="17" t="n">
        <v>1</v>
      </c>
      <c r="E57" s="5"/>
      <c r="F57" s="23"/>
      <c r="H57" s="5"/>
      <c r="I57" s="13" t="s">
        <v>58</v>
      </c>
      <c r="J57" s="14" t="n">
        <v>152681</v>
      </c>
      <c r="K57" s="16" t="n">
        <v>0.015</v>
      </c>
      <c r="L57" s="14" t="n">
        <v>152681</v>
      </c>
      <c r="M57" s="16" t="n">
        <v>0.005</v>
      </c>
      <c r="N57" s="14" t="n">
        <v>305362</v>
      </c>
      <c r="O57" s="14" t="n">
        <v>305362</v>
      </c>
      <c r="P57" s="18" t="n">
        <v>0</v>
      </c>
      <c r="Q57" s="16" t="n">
        <v>0.5</v>
      </c>
      <c r="R57" s="16" t="n">
        <v>0.5</v>
      </c>
    </row>
    <row r="58" customFormat="false" ht="15" hidden="false" customHeight="false" outlineLevel="0" collapsed="false">
      <c r="A58" s="13" t="s">
        <v>36</v>
      </c>
      <c r="B58" s="17" t="n">
        <v>0</v>
      </c>
      <c r="C58" s="17" t="n">
        <v>1</v>
      </c>
      <c r="D58" s="17" t="n">
        <v>1</v>
      </c>
      <c r="E58" s="5"/>
      <c r="F58" s="23"/>
      <c r="H58" s="5"/>
      <c r="I58" s="13" t="s">
        <v>59</v>
      </c>
      <c r="J58" s="14" t="n">
        <v>2254</v>
      </c>
      <c r="K58" s="16" t="n">
        <v>0</v>
      </c>
      <c r="L58" s="14" t="n">
        <v>6606</v>
      </c>
      <c r="M58" s="16" t="n">
        <v>0</v>
      </c>
      <c r="N58" s="14" t="n">
        <v>8860</v>
      </c>
      <c r="O58" s="14" t="n">
        <v>8860</v>
      </c>
      <c r="P58" s="18" t="n">
        <v>1</v>
      </c>
      <c r="Q58" s="16" t="n">
        <v>0.254</v>
      </c>
      <c r="R58" s="16" t="n">
        <v>0.746</v>
      </c>
    </row>
    <row r="59" customFormat="false" ht="15" hidden="false" customHeight="false" outlineLevel="0" collapsed="false">
      <c r="A59" s="13" t="s">
        <v>39</v>
      </c>
      <c r="B59" s="17" t="n">
        <v>0.1782</v>
      </c>
      <c r="C59" s="17" t="n">
        <v>0.8218</v>
      </c>
      <c r="D59" s="17" t="n">
        <v>1</v>
      </c>
      <c r="E59" s="5"/>
      <c r="F59" s="23"/>
      <c r="H59" s="5"/>
      <c r="I59" s="13" t="s">
        <v>60</v>
      </c>
      <c r="J59" s="14" t="n">
        <v>0</v>
      </c>
      <c r="K59" s="16" t="n">
        <v>0</v>
      </c>
      <c r="L59" s="14" t="n">
        <v>0</v>
      </c>
      <c r="M59" s="16" t="n">
        <v>0</v>
      </c>
      <c r="N59" s="14" t="n">
        <v>0</v>
      </c>
      <c r="O59" s="14" t="n">
        <v>0</v>
      </c>
      <c r="P59" s="18" t="n">
        <v>0</v>
      </c>
      <c r="Q59" s="22" t="s">
        <v>111</v>
      </c>
      <c r="R59" s="22" t="s">
        <v>111</v>
      </c>
    </row>
    <row r="60" customFormat="false" ht="15" hidden="false" customHeight="false" outlineLevel="0" collapsed="false">
      <c r="A60" s="13" t="s">
        <v>112</v>
      </c>
      <c r="B60" s="17" t="n">
        <v>0.6072</v>
      </c>
      <c r="C60" s="17" t="n">
        <v>0.3928</v>
      </c>
      <c r="D60" s="17" t="n">
        <v>1</v>
      </c>
      <c r="E60" s="5"/>
      <c r="F60" s="23"/>
      <c r="H60" s="5"/>
      <c r="I60" s="13" t="s">
        <v>42</v>
      </c>
      <c r="J60" s="14" t="n">
        <v>68607</v>
      </c>
      <c r="K60" s="16" t="n">
        <v>0.007</v>
      </c>
      <c r="L60" s="14" t="n">
        <v>106721</v>
      </c>
      <c r="M60" s="16" t="n">
        <v>0.003</v>
      </c>
      <c r="N60" s="14" t="n">
        <v>175328</v>
      </c>
      <c r="O60" s="14" t="n">
        <v>175328</v>
      </c>
      <c r="P60" s="18" t="n">
        <v>3</v>
      </c>
      <c r="Q60" s="16" t="n">
        <v>0.391</v>
      </c>
      <c r="R60" s="16" t="n">
        <v>0.609</v>
      </c>
    </row>
    <row r="61" customFormat="false" ht="15" hidden="false" customHeight="false" outlineLevel="0" collapsed="false">
      <c r="F61" s="23"/>
      <c r="H61" s="5"/>
      <c r="I61" s="13" t="s">
        <v>44</v>
      </c>
      <c r="J61" s="14" t="n">
        <v>2000</v>
      </c>
      <c r="K61" s="16" t="n">
        <v>0</v>
      </c>
      <c r="L61" s="14" t="n">
        <v>2000</v>
      </c>
      <c r="M61" s="16" t="n">
        <v>0</v>
      </c>
      <c r="N61" s="14" t="n">
        <v>4000</v>
      </c>
      <c r="O61" s="14" t="n">
        <v>4000</v>
      </c>
      <c r="P61" s="18" t="n">
        <v>0</v>
      </c>
      <c r="Q61" s="16" t="n">
        <v>0.5</v>
      </c>
      <c r="R61" s="16" t="n">
        <v>0.5</v>
      </c>
    </row>
    <row r="62" customFormat="false" ht="15" hidden="false" customHeight="false" outlineLevel="0" collapsed="false">
      <c r="A62" s="30" t="s">
        <v>2</v>
      </c>
      <c r="B62" s="30" t="s">
        <v>92</v>
      </c>
      <c r="C62" s="30" t="s">
        <v>93</v>
      </c>
      <c r="D62" s="30" t="s">
        <v>94</v>
      </c>
      <c r="E62" s="30" t="s">
        <v>115</v>
      </c>
      <c r="F62" s="23"/>
      <c r="H62" s="5"/>
      <c r="I62" s="13" t="s">
        <v>61</v>
      </c>
      <c r="J62" s="14" t="n">
        <v>3192</v>
      </c>
      <c r="K62" s="16" t="n">
        <v>0</v>
      </c>
      <c r="L62" s="14" t="n">
        <v>3192</v>
      </c>
      <c r="M62" s="16" t="n">
        <v>0</v>
      </c>
      <c r="N62" s="14" t="n">
        <v>6384</v>
      </c>
      <c r="O62" s="14" t="n">
        <v>6384</v>
      </c>
      <c r="P62" s="18" t="n">
        <v>0</v>
      </c>
      <c r="Q62" s="16" t="n">
        <v>0.5</v>
      </c>
      <c r="R62" s="16" t="n">
        <v>0.5</v>
      </c>
    </row>
    <row r="63" customFormat="false" ht="15" hidden="false" customHeight="false" outlineLevel="0" collapsed="false">
      <c r="A63" s="31" t="s">
        <v>116</v>
      </c>
      <c r="B63" s="32" t="n">
        <v>347346</v>
      </c>
      <c r="C63" s="32" t="n">
        <v>496157</v>
      </c>
      <c r="D63" s="32" t="n">
        <v>451204</v>
      </c>
      <c r="E63" s="33"/>
      <c r="F63" s="23"/>
      <c r="H63" s="5"/>
      <c r="I63" s="13" t="s">
        <v>62</v>
      </c>
      <c r="J63" s="14" t="n">
        <v>31175</v>
      </c>
      <c r="K63" s="16" t="n">
        <v>0.003</v>
      </c>
      <c r="L63" s="14" t="n">
        <v>31175</v>
      </c>
      <c r="M63" s="16" t="n">
        <v>0.001</v>
      </c>
      <c r="N63" s="14" t="n">
        <v>62349</v>
      </c>
      <c r="O63" s="14" t="n">
        <v>62349</v>
      </c>
      <c r="P63" s="18" t="n">
        <v>0</v>
      </c>
      <c r="Q63" s="16" t="n">
        <v>0.5</v>
      </c>
      <c r="R63" s="16" t="n">
        <v>0.5</v>
      </c>
    </row>
    <row r="64" customFormat="false" ht="15" hidden="false" customHeight="false" outlineLevel="0" collapsed="false">
      <c r="A64" s="31" t="s">
        <v>117</v>
      </c>
      <c r="B64" s="34" t="n">
        <v>106.84</v>
      </c>
      <c r="C64" s="34" t="n">
        <v>64.09</v>
      </c>
      <c r="D64" s="34" t="n">
        <v>71.35</v>
      </c>
      <c r="E64" s="33"/>
      <c r="F64" s="23"/>
      <c r="H64" s="5"/>
      <c r="I64" s="13" t="s">
        <v>63</v>
      </c>
      <c r="J64" s="14" t="n">
        <v>0</v>
      </c>
      <c r="K64" s="16" t="n">
        <v>0</v>
      </c>
      <c r="L64" s="14" t="n">
        <v>0</v>
      </c>
      <c r="M64" s="16" t="n">
        <v>0</v>
      </c>
      <c r="N64" s="14" t="n">
        <v>0</v>
      </c>
      <c r="O64" s="14" t="n">
        <v>0</v>
      </c>
      <c r="P64" s="18" t="n">
        <v>0</v>
      </c>
      <c r="Q64" s="22" t="s">
        <v>111</v>
      </c>
      <c r="R64" s="22" t="s">
        <v>111</v>
      </c>
    </row>
    <row r="65" customFormat="false" ht="15" hidden="false" customHeight="false" outlineLevel="0" collapsed="false">
      <c r="A65" s="31" t="s">
        <v>118</v>
      </c>
      <c r="B65" s="34" t="n">
        <v>95.83</v>
      </c>
      <c r="C65" s="34" t="n">
        <v>53.08</v>
      </c>
      <c r="D65" s="5"/>
      <c r="E65" s="33"/>
      <c r="F65" s="23"/>
      <c r="H65" s="5"/>
      <c r="I65" s="13" t="s">
        <v>64</v>
      </c>
      <c r="J65" s="14" t="n">
        <v>69508</v>
      </c>
      <c r="K65" s="16" t="n">
        <v>0.007</v>
      </c>
      <c r="L65" s="14" t="n">
        <v>108123</v>
      </c>
      <c r="M65" s="16" t="n">
        <v>0.004</v>
      </c>
      <c r="N65" s="14" t="n">
        <v>177631</v>
      </c>
      <c r="O65" s="14" t="n">
        <v>177631</v>
      </c>
      <c r="P65" s="18" t="n">
        <v>3</v>
      </c>
      <c r="Q65" s="16" t="n">
        <v>0.391</v>
      </c>
      <c r="R65" s="16" t="n">
        <v>0.609</v>
      </c>
    </row>
    <row r="66" customFormat="false" ht="15" hidden="false" customHeight="false" outlineLevel="0" collapsed="false">
      <c r="A66" s="31" t="s">
        <v>119</v>
      </c>
      <c r="B66" s="32" t="n">
        <v>339683</v>
      </c>
      <c r="C66" s="32" t="n">
        <v>267038</v>
      </c>
      <c r="D66" s="32" t="n">
        <v>288983</v>
      </c>
      <c r="E66" s="33"/>
      <c r="F66" s="23"/>
      <c r="H66" s="5"/>
      <c r="I66" s="13" t="s">
        <v>38</v>
      </c>
      <c r="J66" s="14" t="n">
        <v>23538</v>
      </c>
      <c r="K66" s="16" t="n">
        <v>0.002</v>
      </c>
      <c r="L66" s="14" t="n">
        <v>23538</v>
      </c>
      <c r="M66" s="16" t="n">
        <v>0.001</v>
      </c>
      <c r="N66" s="14" t="n">
        <v>47075</v>
      </c>
      <c r="O66" s="14" t="n">
        <v>47075</v>
      </c>
      <c r="P66" s="18" t="n">
        <v>0</v>
      </c>
      <c r="Q66" s="16" t="n">
        <v>0.5</v>
      </c>
      <c r="R66" s="16" t="n">
        <v>0.5</v>
      </c>
    </row>
    <row r="67" customFormat="false" ht="15" hidden="false" customHeight="false" outlineLevel="0" collapsed="false">
      <c r="A67" s="31" t="s">
        <v>120</v>
      </c>
      <c r="B67" s="32" t="n">
        <v>341421</v>
      </c>
      <c r="C67" s="32" t="n">
        <v>268647</v>
      </c>
      <c r="D67" s="32" t="n">
        <v>290631</v>
      </c>
      <c r="E67" s="33"/>
      <c r="F67" s="23"/>
      <c r="H67" s="5"/>
      <c r="I67" s="13" t="s">
        <v>65</v>
      </c>
      <c r="J67" s="14" t="n">
        <v>29500</v>
      </c>
      <c r="K67" s="16" t="n">
        <v>0.003</v>
      </c>
      <c r="L67" s="14" t="n">
        <v>29500</v>
      </c>
      <c r="M67" s="16" t="n">
        <v>0.001</v>
      </c>
      <c r="N67" s="14" t="n">
        <v>59000</v>
      </c>
      <c r="O67" s="14" t="n">
        <v>59000</v>
      </c>
      <c r="P67" s="18" t="n">
        <v>0</v>
      </c>
      <c r="Q67" s="16" t="n">
        <v>0.5</v>
      </c>
      <c r="R67" s="16" t="n">
        <v>0.5</v>
      </c>
    </row>
    <row r="68" customFormat="false" ht="15" hidden="false" customHeight="false" outlineLevel="0" collapsed="false">
      <c r="A68" s="13" t="s">
        <v>121</v>
      </c>
      <c r="B68" s="14" t="n">
        <v>19380521</v>
      </c>
      <c r="C68" s="14" t="n">
        <v>32255662</v>
      </c>
      <c r="D68" s="14" t="n">
        <v>51286730</v>
      </c>
      <c r="E68" s="33"/>
      <c r="F68" s="23"/>
      <c r="H68" s="5"/>
      <c r="I68" s="13" t="s">
        <v>66</v>
      </c>
      <c r="J68" s="14" t="n">
        <v>5027</v>
      </c>
      <c r="K68" s="16" t="n">
        <v>0</v>
      </c>
      <c r="L68" s="14" t="n">
        <v>7820</v>
      </c>
      <c r="M68" s="16" t="n">
        <v>0</v>
      </c>
      <c r="N68" s="14" t="n">
        <v>12847</v>
      </c>
      <c r="O68" s="14" t="n">
        <v>12847</v>
      </c>
      <c r="P68" s="18" t="n">
        <v>3</v>
      </c>
      <c r="Q68" s="16" t="n">
        <v>0.391</v>
      </c>
      <c r="R68" s="16" t="n">
        <v>0.609</v>
      </c>
    </row>
    <row r="69" customFormat="false" ht="15" hidden="false" customHeight="false" outlineLevel="0" collapsed="false">
      <c r="A69" s="13" t="s">
        <v>122</v>
      </c>
      <c r="B69" s="14" t="n">
        <v>10311688</v>
      </c>
      <c r="C69" s="14" t="n">
        <v>30679448</v>
      </c>
      <c r="D69" s="14" t="n">
        <v>40991136</v>
      </c>
      <c r="E69" s="33"/>
      <c r="F69" s="23"/>
      <c r="H69" s="5"/>
      <c r="I69" s="13" t="s">
        <v>67</v>
      </c>
      <c r="J69" s="14" t="n">
        <v>6246</v>
      </c>
      <c r="K69" s="16" t="n">
        <v>0.001</v>
      </c>
      <c r="L69" s="14" t="n">
        <v>15054</v>
      </c>
      <c r="M69" s="16" t="n">
        <v>0</v>
      </c>
      <c r="N69" s="14" t="n">
        <v>21300</v>
      </c>
      <c r="O69" s="14" t="n">
        <v>21300</v>
      </c>
      <c r="P69" s="18" t="n">
        <v>2</v>
      </c>
      <c r="Q69" s="16" t="n">
        <v>0.293</v>
      </c>
      <c r="R69" s="16" t="n">
        <v>0.707</v>
      </c>
    </row>
    <row r="70" customFormat="false" ht="15" hidden="false" customHeight="false" outlineLevel="0" collapsed="false">
      <c r="A70" s="13" t="s">
        <v>123</v>
      </c>
      <c r="B70" s="35" t="n">
        <v>-0.8795</v>
      </c>
      <c r="C70" s="35" t="n">
        <v>-0.0514</v>
      </c>
      <c r="D70" s="35" t="n">
        <v>-0.2512</v>
      </c>
      <c r="E70" s="33" t="s">
        <v>124</v>
      </c>
      <c r="F70" s="23"/>
      <c r="H70" s="5"/>
      <c r="I70" s="13" t="s">
        <v>45</v>
      </c>
      <c r="J70" s="14" t="n">
        <v>0</v>
      </c>
      <c r="K70" s="16" t="n">
        <v>0</v>
      </c>
      <c r="L70" s="14" t="n">
        <v>0</v>
      </c>
      <c r="M70" s="16" t="n">
        <v>0</v>
      </c>
      <c r="N70" s="14" t="n">
        <v>0</v>
      </c>
      <c r="O70" s="14" t="n">
        <v>0</v>
      </c>
      <c r="P70" s="18" t="n">
        <v>3</v>
      </c>
      <c r="Q70" s="22" t="s">
        <v>111</v>
      </c>
      <c r="R70" s="22" t="s">
        <v>111</v>
      </c>
    </row>
    <row r="71" customFormat="false" ht="15" hidden="false" customHeight="false" outlineLevel="0" collapsed="false">
      <c r="A71" s="13" t="s">
        <v>125</v>
      </c>
      <c r="B71" s="17" t="n">
        <v>0.9829</v>
      </c>
      <c r="C71" s="17" t="n">
        <v>0.5415</v>
      </c>
      <c r="D71" s="17" t="n">
        <v>0.6441</v>
      </c>
      <c r="E71" s="33" t="s">
        <v>126</v>
      </c>
      <c r="F71" s="23"/>
      <c r="H71" s="5"/>
      <c r="I71" s="13" t="s">
        <v>68</v>
      </c>
      <c r="J71" s="14" t="n">
        <v>0</v>
      </c>
      <c r="K71" s="16" t="n">
        <v>0</v>
      </c>
      <c r="L71" s="14" t="n">
        <v>0</v>
      </c>
      <c r="M71" s="16" t="n">
        <v>0</v>
      </c>
      <c r="N71" s="14" t="n">
        <v>0</v>
      </c>
      <c r="O71" s="14" t="n">
        <v>0</v>
      </c>
      <c r="P71" s="18" t="n">
        <v>3</v>
      </c>
      <c r="Q71" s="22" t="s">
        <v>111</v>
      </c>
      <c r="R71" s="22" t="s">
        <v>111</v>
      </c>
    </row>
    <row r="72" customFormat="false" ht="15" hidden="false" customHeight="false" outlineLevel="0" collapsed="false">
      <c r="A72" s="31" t="s">
        <v>127</v>
      </c>
      <c r="B72" s="17" t="n">
        <v>0.3409</v>
      </c>
      <c r="C72" s="17" t="n">
        <v>0.6193</v>
      </c>
      <c r="D72" s="17" t="n">
        <v>0.5205</v>
      </c>
      <c r="E72" s="36" t="s">
        <v>128</v>
      </c>
      <c r="F72" s="23"/>
      <c r="H72" s="5"/>
      <c r="I72" s="13" t="s">
        <v>69</v>
      </c>
      <c r="J72" s="14" t="n">
        <v>70000</v>
      </c>
      <c r="K72" s="16" t="n">
        <v>0.007</v>
      </c>
      <c r="L72" s="14" t="n">
        <v>70000</v>
      </c>
      <c r="M72" s="16" t="n">
        <v>0.002</v>
      </c>
      <c r="N72" s="14" t="n">
        <v>140000</v>
      </c>
      <c r="O72" s="14" t="n">
        <v>140000</v>
      </c>
      <c r="P72" s="18" t="n">
        <v>0</v>
      </c>
      <c r="Q72" s="16" t="n">
        <v>0.5</v>
      </c>
      <c r="R72" s="16" t="n">
        <v>0.5</v>
      </c>
    </row>
    <row r="73" customFormat="false" ht="15" hidden="false" customHeight="false" outlineLevel="0" collapsed="false">
      <c r="A73" s="13" t="s">
        <v>129</v>
      </c>
      <c r="B73" s="17" t="n">
        <v>1.8795</v>
      </c>
      <c r="C73" s="17" t="n">
        <v>1.0514</v>
      </c>
      <c r="D73" s="17" t="n">
        <v>1.2512</v>
      </c>
      <c r="E73" s="33" t="s">
        <v>130</v>
      </c>
      <c r="F73" s="23"/>
      <c r="H73" s="5"/>
      <c r="I73" s="13" t="s">
        <v>70</v>
      </c>
      <c r="J73" s="14" t="n">
        <v>0</v>
      </c>
      <c r="K73" s="16" t="n">
        <v>0</v>
      </c>
      <c r="L73" s="14" t="n">
        <v>0</v>
      </c>
      <c r="M73" s="16" t="n">
        <v>0</v>
      </c>
      <c r="N73" s="14" t="n">
        <v>0</v>
      </c>
      <c r="O73" s="14" t="n">
        <v>0</v>
      </c>
      <c r="P73" s="18" t="n">
        <v>0</v>
      </c>
      <c r="Q73" s="22" t="s">
        <v>111</v>
      </c>
      <c r="R73" s="22" t="s">
        <v>111</v>
      </c>
    </row>
    <row r="74" customFormat="false" ht="15" hidden="false" customHeight="false" outlineLevel="0" collapsed="false">
      <c r="A74" s="13" t="s">
        <v>131</v>
      </c>
      <c r="B74" s="14" t="n">
        <v>181394</v>
      </c>
      <c r="C74" s="14" t="n">
        <v>503310</v>
      </c>
      <c r="D74" s="14" t="n">
        <v>718791</v>
      </c>
      <c r="E74" s="36" t="s">
        <v>132</v>
      </c>
      <c r="F74" s="23"/>
      <c r="H74" s="5"/>
      <c r="I74" s="13" t="s">
        <v>40</v>
      </c>
      <c r="J74" s="14" t="n">
        <v>0</v>
      </c>
      <c r="K74" s="16" t="n">
        <v>0</v>
      </c>
      <c r="L74" s="14" t="n">
        <v>0</v>
      </c>
      <c r="M74" s="16" t="n">
        <v>0</v>
      </c>
      <c r="N74" s="14" t="n">
        <v>0</v>
      </c>
      <c r="O74" s="14" t="n">
        <v>0</v>
      </c>
      <c r="P74" s="18" t="n">
        <v>3</v>
      </c>
      <c r="Q74" s="22" t="s">
        <v>111</v>
      </c>
      <c r="R74" s="22" t="s">
        <v>111</v>
      </c>
    </row>
    <row r="75" customFormat="false" ht="15" hidden="false" customHeight="false" outlineLevel="0" collapsed="false">
      <c r="A75" s="13" t="s">
        <v>133</v>
      </c>
      <c r="B75" s="35" t="n">
        <v>-0.5619</v>
      </c>
      <c r="C75" s="35" t="n">
        <v>-0.0325</v>
      </c>
      <c r="D75" s="35" t="n">
        <v>-0.1657</v>
      </c>
      <c r="E75" s="36" t="s">
        <v>134</v>
      </c>
      <c r="F75" s="23"/>
      <c r="H75" s="5"/>
      <c r="I75" s="13" t="s">
        <v>48</v>
      </c>
      <c r="J75" s="14" t="n">
        <v>103081</v>
      </c>
      <c r="K75" s="16" t="n">
        <v>0.01</v>
      </c>
      <c r="L75" s="14" t="n">
        <v>103081</v>
      </c>
      <c r="M75" s="16" t="n">
        <v>0.003</v>
      </c>
      <c r="N75" s="14" t="n">
        <v>206161</v>
      </c>
      <c r="O75" s="14" t="n">
        <v>206161</v>
      </c>
      <c r="P75" s="18" t="n">
        <v>0</v>
      </c>
      <c r="Q75" s="16" t="n">
        <v>0.5</v>
      </c>
      <c r="R75" s="16" t="n">
        <v>0.5</v>
      </c>
    </row>
    <row r="76" customFormat="false" ht="15" hidden="false" customHeight="false" outlineLevel="0" collapsed="false">
      <c r="F76" s="23"/>
      <c r="H76" s="5"/>
      <c r="I76" s="13" t="s">
        <v>71</v>
      </c>
      <c r="J76" s="14" t="n">
        <v>32500</v>
      </c>
      <c r="K76" s="16" t="n">
        <v>0.003</v>
      </c>
      <c r="L76" s="14" t="n">
        <v>32500</v>
      </c>
      <c r="M76" s="16" t="n">
        <v>0.001</v>
      </c>
      <c r="N76" s="14" t="n">
        <v>65000</v>
      </c>
      <c r="O76" s="14" t="n">
        <v>65000</v>
      </c>
      <c r="P76" s="18" t="n">
        <v>0</v>
      </c>
      <c r="Q76" s="16" t="n">
        <v>0.5</v>
      </c>
      <c r="R76" s="16" t="n">
        <v>0.5</v>
      </c>
    </row>
    <row r="77" customFormat="false" ht="15" hidden="false" customHeight="false" outlineLevel="0" collapsed="false">
      <c r="F77" s="23"/>
      <c r="H77" s="5"/>
      <c r="I77" s="31"/>
      <c r="J77" s="14" t="n">
        <v>0</v>
      </c>
      <c r="K77" s="16" t="n">
        <v>0</v>
      </c>
      <c r="L77" s="14" t="n">
        <v>0</v>
      </c>
      <c r="M77" s="16" t="n">
        <v>0</v>
      </c>
      <c r="N77" s="14" t="n">
        <v>0</v>
      </c>
      <c r="O77" s="14" t="n">
        <v>0</v>
      </c>
      <c r="P77" s="18" t="n">
        <v>0</v>
      </c>
      <c r="Q77" s="22" t="s">
        <v>111</v>
      </c>
      <c r="R77" s="22" t="s">
        <v>111</v>
      </c>
    </row>
    <row r="78" customFormat="false" ht="15" hidden="false" customHeight="false" outlineLevel="0" collapsed="false">
      <c r="F78" s="23"/>
      <c r="H78" s="21" t="s">
        <v>27</v>
      </c>
      <c r="I78" s="9" t="s">
        <v>72</v>
      </c>
      <c r="J78" s="11" t="n">
        <v>3664450</v>
      </c>
      <c r="K78" s="19" t="n">
        <v>0.355</v>
      </c>
      <c r="L78" s="11" t="n">
        <v>4623647</v>
      </c>
      <c r="M78" s="19" t="n">
        <v>0.151</v>
      </c>
      <c r="N78" s="11" t="n">
        <v>8288097</v>
      </c>
      <c r="O78" s="11" t="n">
        <v>8288097</v>
      </c>
      <c r="P78" s="20"/>
      <c r="Q78" s="19" t="n">
        <v>0.442</v>
      </c>
      <c r="R78" s="19" t="n">
        <v>0.558</v>
      </c>
    </row>
    <row r="79" customFormat="false" ht="15" hidden="false" customHeight="false" outlineLevel="0" collapsed="false">
      <c r="F79" s="23"/>
      <c r="H79" s="21"/>
      <c r="I79" s="9" t="s">
        <v>73</v>
      </c>
      <c r="J79" s="28" t="n">
        <v>-5484635</v>
      </c>
      <c r="K79" s="29" t="n">
        <v>-0.532</v>
      </c>
      <c r="L79" s="28" t="n">
        <v>-89942</v>
      </c>
      <c r="M79" s="29" t="n">
        <v>-0.003</v>
      </c>
      <c r="N79" s="28" t="n">
        <v>-5574578</v>
      </c>
      <c r="O79" s="11" t="n">
        <v>2017665</v>
      </c>
      <c r="P79" s="20"/>
      <c r="Q79" s="19" t="n">
        <v>0.984</v>
      </c>
      <c r="R79" s="19" t="n">
        <v>0.016</v>
      </c>
    </row>
    <row r="80" customFormat="false" ht="15" hidden="false" customHeight="false" outlineLevel="0" collapsed="false">
      <c r="F80" s="23"/>
      <c r="H80" s="5"/>
      <c r="I80" s="13" t="s">
        <v>74</v>
      </c>
      <c r="J80" s="14" t="n">
        <v>0</v>
      </c>
      <c r="K80" s="16" t="n">
        <v>0</v>
      </c>
      <c r="L80" s="14" t="n">
        <v>0</v>
      </c>
      <c r="M80" s="16" t="n">
        <v>0</v>
      </c>
      <c r="N80" s="14" t="n">
        <v>0</v>
      </c>
      <c r="O80" s="14" t="n">
        <v>0</v>
      </c>
      <c r="P80" s="18" t="n">
        <v>1</v>
      </c>
      <c r="Q80" s="22" t="s">
        <v>111</v>
      </c>
      <c r="R80" s="22" t="s">
        <v>111</v>
      </c>
    </row>
    <row r="81" customFormat="false" ht="15" hidden="false" customHeight="false" outlineLevel="0" collapsed="false">
      <c r="F81" s="23"/>
      <c r="H81" s="5"/>
      <c r="I81" s="13" t="s">
        <v>75</v>
      </c>
      <c r="J81" s="14" t="n">
        <v>0</v>
      </c>
      <c r="K81" s="16" t="n">
        <v>0</v>
      </c>
      <c r="L81" s="14" t="n">
        <v>0</v>
      </c>
      <c r="M81" s="16" t="n">
        <v>0</v>
      </c>
      <c r="N81" s="14" t="n">
        <v>0</v>
      </c>
      <c r="O81" s="14" t="n">
        <v>0</v>
      </c>
      <c r="P81" s="18" t="n">
        <v>1</v>
      </c>
      <c r="Q81" s="22" t="s">
        <v>111</v>
      </c>
      <c r="R81" s="22" t="s">
        <v>111</v>
      </c>
    </row>
    <row r="82" customFormat="false" ht="15" hidden="false" customHeight="false" outlineLevel="0" collapsed="false">
      <c r="F82" s="23"/>
      <c r="H82" s="5"/>
      <c r="I82" s="13" t="s">
        <v>76</v>
      </c>
      <c r="J82" s="14" t="n">
        <v>22898</v>
      </c>
      <c r="K82" s="16" t="n">
        <v>0.002</v>
      </c>
      <c r="L82" s="14" t="n">
        <v>67102</v>
      </c>
      <c r="M82" s="16" t="n">
        <v>0.002</v>
      </c>
      <c r="N82" s="14" t="n">
        <v>90000</v>
      </c>
      <c r="O82" s="14" t="n">
        <v>90000</v>
      </c>
      <c r="P82" s="18" t="n">
        <v>1</v>
      </c>
      <c r="Q82" s="16" t="n">
        <v>0.254</v>
      </c>
      <c r="R82" s="16" t="n">
        <v>0.746</v>
      </c>
    </row>
    <row r="83" customFormat="false" ht="15" hidden="false" customHeight="false" outlineLevel="0" collapsed="false">
      <c r="F83" s="23"/>
      <c r="H83" s="5"/>
      <c r="I83" s="13" t="s">
        <v>77</v>
      </c>
      <c r="J83" s="14" t="n">
        <v>1843</v>
      </c>
      <c r="K83" s="16" t="n">
        <v>0</v>
      </c>
      <c r="L83" s="14" t="n">
        <v>5399</v>
      </c>
      <c r="M83" s="16" t="n">
        <v>0</v>
      </c>
      <c r="N83" s="14" t="n">
        <v>7242</v>
      </c>
      <c r="O83" s="14" t="n">
        <v>7242</v>
      </c>
      <c r="P83" s="18" t="n">
        <v>1</v>
      </c>
      <c r="Q83" s="16" t="n">
        <v>0.254</v>
      </c>
      <c r="R83" s="16" t="n">
        <v>0.746</v>
      </c>
    </row>
    <row r="84" customFormat="false" ht="15" hidden="false" customHeight="false" outlineLevel="0" collapsed="false">
      <c r="F84" s="23"/>
      <c r="H84" s="5"/>
      <c r="I84" s="31"/>
      <c r="J84" s="14" t="n">
        <v>0</v>
      </c>
      <c r="K84" s="16" t="n">
        <v>0</v>
      </c>
      <c r="L84" s="14" t="n">
        <v>0</v>
      </c>
      <c r="M84" s="16" t="n">
        <v>0</v>
      </c>
      <c r="N84" s="14" t="n">
        <v>0</v>
      </c>
      <c r="O84" s="14" t="n">
        <v>0</v>
      </c>
      <c r="P84" s="18" t="n">
        <v>1</v>
      </c>
      <c r="Q84" s="22" t="s">
        <v>111</v>
      </c>
      <c r="R84" s="22" t="s">
        <v>111</v>
      </c>
    </row>
    <row r="85" customFormat="false" ht="15" hidden="false" customHeight="false" outlineLevel="0" collapsed="false">
      <c r="F85" s="23"/>
      <c r="H85" s="21"/>
      <c r="I85" s="9" t="s">
        <v>78</v>
      </c>
      <c r="J85" s="11" t="n">
        <v>24740</v>
      </c>
      <c r="K85" s="19" t="n">
        <v>0.002</v>
      </c>
      <c r="L85" s="11" t="n">
        <v>72502</v>
      </c>
      <c r="M85" s="19" t="n">
        <v>0.002</v>
      </c>
      <c r="N85" s="11" t="n">
        <v>97242</v>
      </c>
      <c r="O85" s="11" t="n">
        <v>97242</v>
      </c>
      <c r="P85" s="20"/>
      <c r="Q85" s="19" t="n">
        <v>0.254</v>
      </c>
      <c r="R85" s="19" t="n">
        <v>0.746</v>
      </c>
    </row>
    <row r="86" customFormat="false" ht="15" hidden="false" customHeight="false" outlineLevel="0" collapsed="false">
      <c r="F86" s="23"/>
      <c r="H86" s="5"/>
      <c r="I86" s="13" t="s">
        <v>79</v>
      </c>
      <c r="J86" s="14" t="n">
        <v>324794</v>
      </c>
      <c r="K86" s="16" t="n">
        <v>0.031</v>
      </c>
      <c r="L86" s="14" t="n">
        <v>951810</v>
      </c>
      <c r="M86" s="16" t="n">
        <v>0.031</v>
      </c>
      <c r="N86" s="14" t="n">
        <v>1276604</v>
      </c>
      <c r="O86" s="14" t="n">
        <v>1276604</v>
      </c>
      <c r="P86" s="18" t="n">
        <v>1</v>
      </c>
      <c r="Q86" s="16" t="n">
        <v>0.254</v>
      </c>
      <c r="R86" s="16" t="n">
        <v>0.746</v>
      </c>
    </row>
    <row r="87" customFormat="false" ht="15" hidden="false" customHeight="false" outlineLevel="0" collapsed="false">
      <c r="F87" s="23"/>
      <c r="H87" s="5"/>
      <c r="I87" s="13" t="s">
        <v>80</v>
      </c>
      <c r="J87" s="14" t="n">
        <v>9292</v>
      </c>
      <c r="K87" s="16" t="n">
        <v>0.001</v>
      </c>
      <c r="L87" s="14" t="n">
        <v>27232</v>
      </c>
      <c r="M87" s="16" t="n">
        <v>0.001</v>
      </c>
      <c r="N87" s="14" t="n">
        <v>36524</v>
      </c>
      <c r="O87" s="14" t="n">
        <v>36524</v>
      </c>
      <c r="P87" s="18" t="n">
        <v>1</v>
      </c>
      <c r="Q87" s="16" t="n">
        <v>0.254</v>
      </c>
      <c r="R87" s="16" t="n">
        <v>0.746</v>
      </c>
    </row>
    <row r="88" customFormat="false" ht="15" hidden="false" customHeight="false" outlineLevel="0" collapsed="false">
      <c r="F88" s="23"/>
      <c r="H88" s="5"/>
      <c r="I88" s="13" t="s">
        <v>62</v>
      </c>
      <c r="J88" s="14" t="n">
        <v>0</v>
      </c>
      <c r="K88" s="16" t="n">
        <v>0</v>
      </c>
      <c r="L88" s="14" t="n">
        <v>0</v>
      </c>
      <c r="M88" s="16" t="n">
        <v>0</v>
      </c>
      <c r="N88" s="14" t="n">
        <v>0</v>
      </c>
      <c r="O88" s="14" t="n">
        <v>0</v>
      </c>
      <c r="P88" s="18" t="n">
        <v>1</v>
      </c>
      <c r="Q88" s="22" t="s">
        <v>111</v>
      </c>
      <c r="R88" s="22" t="s">
        <v>111</v>
      </c>
    </row>
    <row r="89" customFormat="false" ht="15" hidden="false" customHeight="false" outlineLevel="0" collapsed="false">
      <c r="F89" s="23"/>
      <c r="H89" s="5"/>
      <c r="I89" s="13" t="s">
        <v>81</v>
      </c>
      <c r="J89" s="14" t="n">
        <v>0</v>
      </c>
      <c r="K89" s="16" t="n">
        <v>0</v>
      </c>
      <c r="L89" s="14" t="n">
        <v>0</v>
      </c>
      <c r="M89" s="16" t="n">
        <v>0</v>
      </c>
      <c r="N89" s="14" t="n">
        <v>0</v>
      </c>
      <c r="O89" s="14" t="n">
        <v>0</v>
      </c>
      <c r="P89" s="18" t="n">
        <v>1</v>
      </c>
      <c r="Q89" s="22" t="s">
        <v>111</v>
      </c>
      <c r="R89" s="22" t="s">
        <v>111</v>
      </c>
    </row>
    <row r="90" customFormat="false" ht="15" hidden="false" customHeight="false" outlineLevel="0" collapsed="false">
      <c r="F90" s="23"/>
      <c r="H90" s="21" t="s">
        <v>27</v>
      </c>
      <c r="I90" s="9" t="s">
        <v>82</v>
      </c>
      <c r="J90" s="11" t="n">
        <v>334086</v>
      </c>
      <c r="K90" s="19" t="n">
        <v>0.032</v>
      </c>
      <c r="L90" s="11" t="n">
        <v>979042</v>
      </c>
      <c r="M90" s="19" t="n">
        <v>0.032</v>
      </c>
      <c r="N90" s="11" t="n">
        <v>1313128</v>
      </c>
      <c r="O90" s="11" t="n">
        <v>1313128</v>
      </c>
      <c r="P90" s="20"/>
      <c r="Q90" s="19" t="n">
        <v>0.254</v>
      </c>
      <c r="R90" s="19" t="n">
        <v>0.746</v>
      </c>
    </row>
    <row r="91" customFormat="false" ht="15" hidden="false" customHeight="false" outlineLevel="0" collapsed="false">
      <c r="F91" s="23"/>
      <c r="H91" s="21"/>
      <c r="I91" s="9" t="s">
        <v>83</v>
      </c>
      <c r="J91" s="28" t="n">
        <v>-5793981</v>
      </c>
      <c r="K91" s="29" t="n">
        <v>-0.562</v>
      </c>
      <c r="L91" s="28" t="n">
        <v>-996483</v>
      </c>
      <c r="M91" s="29" t="n">
        <v>-0.032</v>
      </c>
      <c r="N91" s="28" t="n">
        <v>-6790464</v>
      </c>
      <c r="O91" s="11" t="n">
        <v>801779</v>
      </c>
      <c r="P91" s="20"/>
      <c r="Q91" s="19" t="n">
        <v>0.853</v>
      </c>
      <c r="R91" s="19" t="n">
        <v>0.147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  <col collapsed="false" customWidth="true" hidden="false" outlineLevel="0" max="6" min="6" style="0" width="6"/>
    <col collapsed="false" customWidth="true" hidden="false" outlineLevel="0" max="7" min="7" style="0" width="3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5" min="14" style="0" width="13"/>
    <col collapsed="false" customWidth="true" hidden="false" outlineLevel="0" max="16" min="16" style="0" width="6"/>
    <col collapsed="false" customWidth="true" hidden="false" outlineLevel="0" max="18" min="17" style="0" width="9"/>
  </cols>
  <sheetData>
    <row r="1" customFormat="false" ht="19.4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2" t="s">
        <v>91</v>
      </c>
      <c r="B4" s="12" t="s">
        <v>92</v>
      </c>
      <c r="C4" s="12" t="s">
        <v>93</v>
      </c>
      <c r="D4" s="12" t="s">
        <v>94</v>
      </c>
      <c r="E4" s="12" t="s">
        <v>95</v>
      </c>
      <c r="F4" s="12" t="s">
        <v>96</v>
      </c>
      <c r="H4" s="12"/>
      <c r="I4" s="12" t="s">
        <v>2</v>
      </c>
      <c r="J4" s="12" t="s">
        <v>92</v>
      </c>
      <c r="K4" s="12" t="s">
        <v>97</v>
      </c>
      <c r="L4" s="12" t="s">
        <v>93</v>
      </c>
      <c r="M4" s="12" t="s">
        <v>97</v>
      </c>
      <c r="N4" s="12" t="s">
        <v>98</v>
      </c>
      <c r="O4" s="12" t="s">
        <v>95</v>
      </c>
      <c r="P4" s="12" t="s">
        <v>96</v>
      </c>
      <c r="Q4" s="12" t="s">
        <v>99</v>
      </c>
      <c r="R4" s="12" t="s">
        <v>100</v>
      </c>
    </row>
    <row r="5" customFormat="false" ht="15" hidden="false" customHeight="false" outlineLevel="0" collapsed="false">
      <c r="A5" s="13" t="s">
        <v>101</v>
      </c>
      <c r="B5" s="14" t="n">
        <v>11976989</v>
      </c>
      <c r="C5" s="14" t="n">
        <v>40839859</v>
      </c>
      <c r="D5" s="14" t="n">
        <v>9737226</v>
      </c>
      <c r="E5" s="14" t="n">
        <v>62554074</v>
      </c>
      <c r="F5" s="15"/>
      <c r="H5" s="5"/>
      <c r="I5" s="13" t="s">
        <v>9</v>
      </c>
      <c r="J5" s="14" t="n">
        <v>13484950</v>
      </c>
      <c r="K5" s="16" t="n">
        <v>0.997</v>
      </c>
      <c r="L5" s="14" t="n">
        <v>49069124</v>
      </c>
      <c r="M5" s="16" t="n">
        <v>0.993</v>
      </c>
      <c r="N5" s="14" t="n">
        <v>62554074</v>
      </c>
      <c r="O5" s="14" t="n">
        <v>62554074</v>
      </c>
      <c r="P5" s="15" t="s">
        <v>102</v>
      </c>
      <c r="Q5" s="16" t="n">
        <v>0.216</v>
      </c>
      <c r="R5" s="16" t="n">
        <v>0.784</v>
      </c>
    </row>
    <row r="6" customFormat="false" ht="15" hidden="false" customHeight="false" outlineLevel="0" collapsed="false">
      <c r="A6" s="13" t="s">
        <v>103</v>
      </c>
      <c r="B6" s="17" t="n">
        <v>0.1915</v>
      </c>
      <c r="C6" s="17" t="n">
        <v>0.6529</v>
      </c>
      <c r="D6" s="17" t="n">
        <v>0.1557</v>
      </c>
      <c r="E6" s="17" t="n">
        <v>1</v>
      </c>
      <c r="F6" s="18" t="n">
        <v>1</v>
      </c>
      <c r="H6" s="5"/>
      <c r="I6" s="13" t="s">
        <v>10</v>
      </c>
      <c r="J6" s="14" t="n">
        <v>67178</v>
      </c>
      <c r="K6" s="16" t="n">
        <v>0.005</v>
      </c>
      <c r="L6" s="14" t="n">
        <v>366602</v>
      </c>
      <c r="M6" s="16" t="n">
        <v>0.007</v>
      </c>
      <c r="N6" s="14" t="n">
        <v>433780</v>
      </c>
      <c r="O6" s="14" t="n">
        <v>433780</v>
      </c>
      <c r="P6" s="18" t="n">
        <v>4</v>
      </c>
      <c r="Q6" s="16" t="n">
        <v>0.155</v>
      </c>
      <c r="R6" s="16" t="n">
        <v>0.845</v>
      </c>
    </row>
    <row r="7" customFormat="false" ht="15" hidden="false" customHeight="false" outlineLevel="0" collapsed="false">
      <c r="A7" s="13" t="s">
        <v>104</v>
      </c>
      <c r="B7" s="14" t="n">
        <v>12</v>
      </c>
      <c r="C7" s="14" t="n">
        <v>10</v>
      </c>
      <c r="D7" s="14" t="n">
        <v>44</v>
      </c>
      <c r="E7" s="14" t="n">
        <v>66</v>
      </c>
      <c r="F7" s="15"/>
      <c r="H7" s="5"/>
      <c r="I7" s="13" t="s">
        <v>11</v>
      </c>
      <c r="J7" s="14" t="n">
        <v>33038</v>
      </c>
      <c r="K7" s="16" t="n">
        <v>0.002</v>
      </c>
      <c r="L7" s="14" t="n">
        <v>4084</v>
      </c>
      <c r="M7" s="16" t="n">
        <v>0</v>
      </c>
      <c r="N7" s="14" t="n">
        <v>37122</v>
      </c>
      <c r="O7" s="14" t="n">
        <v>37122</v>
      </c>
      <c r="P7" s="15" t="s">
        <v>102</v>
      </c>
      <c r="Q7" s="16" t="n">
        <v>0.89</v>
      </c>
      <c r="R7" s="16" t="n">
        <v>0.11</v>
      </c>
    </row>
    <row r="8" customFormat="false" ht="15" hidden="false" customHeight="false" outlineLevel="0" collapsed="false">
      <c r="A8" s="13" t="s">
        <v>105</v>
      </c>
      <c r="B8" s="17" t="n">
        <v>0.1818</v>
      </c>
      <c r="C8" s="17" t="n">
        <v>0.1515</v>
      </c>
      <c r="D8" s="17" t="n">
        <v>0.6667</v>
      </c>
      <c r="E8" s="17" t="n">
        <v>1</v>
      </c>
      <c r="F8" s="18" t="n">
        <v>2</v>
      </c>
      <c r="H8" s="21"/>
      <c r="I8" s="9" t="s">
        <v>12</v>
      </c>
      <c r="J8" s="11" t="n">
        <v>13519089</v>
      </c>
      <c r="K8" s="19" t="n">
        <v>1</v>
      </c>
      <c r="L8" s="11" t="n">
        <v>49431643</v>
      </c>
      <c r="M8" s="19" t="n">
        <v>1</v>
      </c>
      <c r="N8" s="11" t="n">
        <v>62950732</v>
      </c>
      <c r="O8" s="11" t="n">
        <v>62950732</v>
      </c>
      <c r="P8" s="20"/>
      <c r="Q8" s="19" t="n">
        <v>0.215</v>
      </c>
      <c r="R8" s="19" t="n">
        <v>0.785</v>
      </c>
    </row>
    <row r="9" customFormat="false" ht="15" hidden="false" customHeight="false" outlineLevel="0" collapsed="false">
      <c r="A9" s="13" t="s">
        <v>106</v>
      </c>
      <c r="B9" s="14" t="n">
        <v>47</v>
      </c>
      <c r="C9" s="14" t="n">
        <v>115</v>
      </c>
      <c r="D9" s="14" t="n">
        <v>0</v>
      </c>
      <c r="E9" s="14" t="n">
        <v>162</v>
      </c>
      <c r="F9" s="15"/>
      <c r="H9" s="5"/>
      <c r="I9" s="13" t="s">
        <v>13</v>
      </c>
      <c r="J9" s="14" t="n">
        <v>19</v>
      </c>
      <c r="K9" s="5"/>
      <c r="L9" s="14" t="n">
        <v>47</v>
      </c>
      <c r="M9" s="5"/>
      <c r="N9" s="14" t="n">
        <v>66</v>
      </c>
      <c r="O9" s="14" t="n">
        <v>66</v>
      </c>
      <c r="P9" s="15"/>
      <c r="Q9" s="16" t="n">
        <v>0.285</v>
      </c>
      <c r="R9" s="16" t="n">
        <v>0.715</v>
      </c>
    </row>
    <row r="10" customFormat="false" ht="15" hidden="false" customHeight="false" outlineLevel="0" collapsed="false">
      <c r="A10" s="13" t="s">
        <v>107</v>
      </c>
      <c r="B10" s="17" t="n">
        <v>0.2901</v>
      </c>
      <c r="C10" s="17" t="n">
        <v>0.7099</v>
      </c>
      <c r="D10" s="17" t="n">
        <v>0</v>
      </c>
      <c r="E10" s="17" t="n">
        <v>1</v>
      </c>
      <c r="F10" s="18" t="n">
        <v>3</v>
      </c>
      <c r="H10" s="5"/>
      <c r="I10" s="13" t="s">
        <v>14</v>
      </c>
      <c r="J10" s="14" t="n">
        <v>47</v>
      </c>
      <c r="K10" s="5"/>
      <c r="L10" s="14" t="n">
        <v>115</v>
      </c>
      <c r="M10" s="5"/>
      <c r="N10" s="14" t="n">
        <v>162</v>
      </c>
      <c r="O10" s="14" t="n">
        <v>162</v>
      </c>
      <c r="P10" s="15"/>
      <c r="Q10" s="16" t="n">
        <v>0.29</v>
      </c>
      <c r="R10" s="16" t="n">
        <v>0.71</v>
      </c>
    </row>
    <row r="11" customFormat="false" ht="15" hidden="false" customHeight="false" outlineLevel="0" collapsed="false">
      <c r="A11" s="13" t="s">
        <v>108</v>
      </c>
      <c r="B11" s="14" t="n">
        <v>120760</v>
      </c>
      <c r="C11" s="14" t="n">
        <v>659013</v>
      </c>
      <c r="D11" s="14" t="n">
        <v>0</v>
      </c>
      <c r="E11" s="14" t="n">
        <v>779773</v>
      </c>
      <c r="F11" s="15"/>
      <c r="H11" s="5"/>
      <c r="I11" s="13" t="s">
        <v>15</v>
      </c>
      <c r="J11" s="14" t="n">
        <v>120760</v>
      </c>
      <c r="K11" s="5"/>
      <c r="L11" s="14" t="n">
        <v>659013</v>
      </c>
      <c r="M11" s="5"/>
      <c r="N11" s="14" t="n">
        <v>779773</v>
      </c>
      <c r="O11" s="14" t="n">
        <v>779773</v>
      </c>
      <c r="P11" s="15"/>
      <c r="Q11" s="16" t="n">
        <v>0.155</v>
      </c>
      <c r="R11" s="16" t="n">
        <v>0.845</v>
      </c>
    </row>
    <row r="12" customFormat="false" ht="15" hidden="false" customHeight="false" outlineLevel="0" collapsed="false">
      <c r="A12" s="13" t="s">
        <v>109</v>
      </c>
      <c r="B12" s="17" t="n">
        <v>0.1549</v>
      </c>
      <c r="C12" s="17" t="n">
        <v>0.8451</v>
      </c>
      <c r="D12" s="17" t="n">
        <v>0</v>
      </c>
      <c r="E12" s="17" t="n">
        <v>1</v>
      </c>
      <c r="F12" s="18" t="n">
        <v>4</v>
      </c>
      <c r="H12" s="5"/>
      <c r="I12" s="13" t="s">
        <v>16</v>
      </c>
      <c r="J12" s="14" t="n">
        <v>2569</v>
      </c>
      <c r="K12" s="5"/>
      <c r="L12" s="14" t="n">
        <v>5731</v>
      </c>
      <c r="M12" s="5"/>
      <c r="N12" s="14" t="n">
        <v>4813</v>
      </c>
      <c r="O12" s="14" t="n">
        <v>4813</v>
      </c>
      <c r="P12" s="15"/>
      <c r="Q12" s="5"/>
      <c r="R12" s="5"/>
    </row>
    <row r="13" customFormat="false" ht="15" hidden="false" customHeight="false" outlineLevel="0" collapsed="false">
      <c r="A13" s="13" t="s">
        <v>19</v>
      </c>
      <c r="B13" s="14" t="n">
        <v>269608</v>
      </c>
      <c r="C13" s="14" t="n">
        <v>2135600</v>
      </c>
      <c r="D13" s="14" t="n">
        <v>444763</v>
      </c>
      <c r="E13" s="14" t="n">
        <v>2849971</v>
      </c>
      <c r="F13" s="15"/>
      <c r="H13" s="5" t="s">
        <v>17</v>
      </c>
      <c r="I13" s="13" t="s">
        <v>88</v>
      </c>
      <c r="J13" s="5"/>
      <c r="K13" s="5"/>
      <c r="L13" s="5"/>
      <c r="M13" s="5"/>
      <c r="N13" s="5"/>
      <c r="O13" s="14" t="n">
        <v>4690101</v>
      </c>
      <c r="P13" s="15" t="s">
        <v>102</v>
      </c>
      <c r="Q13" s="5"/>
      <c r="R13" s="5"/>
    </row>
    <row r="14" customFormat="false" ht="15" hidden="false" customHeight="false" outlineLevel="0" collapsed="false">
      <c r="A14" s="13" t="s">
        <v>20</v>
      </c>
      <c r="B14" s="14" t="n">
        <v>1113080</v>
      </c>
      <c r="C14" s="14" t="n">
        <v>727050</v>
      </c>
      <c r="D14" s="14" t="n">
        <v>0</v>
      </c>
      <c r="E14" s="14" t="n">
        <v>1840130</v>
      </c>
      <c r="F14" s="15"/>
      <c r="H14" s="21" t="s">
        <v>17</v>
      </c>
      <c r="I14" s="9" t="s">
        <v>18</v>
      </c>
      <c r="J14" s="11" t="n">
        <v>1451566</v>
      </c>
      <c r="K14" s="19" t="n">
        <v>0.107</v>
      </c>
      <c r="L14" s="11" t="n">
        <v>3238535</v>
      </c>
      <c r="M14" s="19" t="n">
        <v>0.066</v>
      </c>
      <c r="N14" s="11" t="n">
        <v>4690101</v>
      </c>
      <c r="O14" s="11" t="n">
        <v>4690101</v>
      </c>
      <c r="P14" s="20"/>
      <c r="Q14" s="19" t="n">
        <v>0.309</v>
      </c>
      <c r="R14" s="19" t="n">
        <v>0.691</v>
      </c>
    </row>
    <row r="15" customFormat="false" ht="15" hidden="false" customHeight="false" outlineLevel="0" collapsed="false">
      <c r="A15" s="13" t="s">
        <v>110</v>
      </c>
      <c r="B15" s="14" t="n">
        <v>3744542</v>
      </c>
      <c r="C15" s="14" t="n">
        <v>2459068</v>
      </c>
      <c r="D15" s="14" t="n">
        <v>10137371</v>
      </c>
      <c r="E15" s="14" t="n">
        <v>16340981</v>
      </c>
      <c r="F15" s="15"/>
      <c r="H15" s="5"/>
      <c r="I15" s="13" t="s">
        <v>19</v>
      </c>
      <c r="J15" s="14" t="n">
        <v>338486</v>
      </c>
      <c r="K15" s="16" t="n">
        <v>0.025</v>
      </c>
      <c r="L15" s="14" t="n">
        <v>2511485</v>
      </c>
      <c r="M15" s="16" t="n">
        <v>0.051</v>
      </c>
      <c r="N15" s="14" t="n">
        <v>2849971</v>
      </c>
      <c r="O15" s="5"/>
      <c r="P15" s="15"/>
      <c r="Q15" s="16" t="n">
        <v>0.119</v>
      </c>
      <c r="R15" s="16" t="n">
        <v>0.881</v>
      </c>
    </row>
    <row r="16" customFormat="false" ht="15" hidden="false" customHeight="false" outlineLevel="0" collapsed="false">
      <c r="A16" s="13" t="s">
        <v>30</v>
      </c>
      <c r="B16" s="14" t="n">
        <v>755660</v>
      </c>
      <c r="C16" s="14" t="n">
        <v>4598325</v>
      </c>
      <c r="D16" s="14" t="n">
        <v>0</v>
      </c>
      <c r="E16" s="14" t="n">
        <v>5353985</v>
      </c>
      <c r="F16" s="15"/>
      <c r="H16" s="5"/>
      <c r="I16" s="13" t="s">
        <v>20</v>
      </c>
      <c r="J16" s="14" t="n">
        <v>1113080</v>
      </c>
      <c r="K16" s="16" t="n">
        <v>0.082</v>
      </c>
      <c r="L16" s="14" t="n">
        <v>727050</v>
      </c>
      <c r="M16" s="16" t="n">
        <v>0.015</v>
      </c>
      <c r="N16" s="14" t="n">
        <v>1840130</v>
      </c>
      <c r="O16" s="5"/>
      <c r="P16" s="15"/>
      <c r="Q16" s="16" t="n">
        <v>0.605</v>
      </c>
      <c r="R16" s="16" t="n">
        <v>0.395</v>
      </c>
    </row>
    <row r="17" customFormat="false" ht="15" hidden="false" customHeight="false" outlineLevel="0" collapsed="false">
      <c r="A17" s="13" t="s">
        <v>31</v>
      </c>
      <c r="B17" s="14" t="n">
        <v>286352</v>
      </c>
      <c r="C17" s="14" t="n">
        <v>1193546</v>
      </c>
      <c r="D17" s="14" t="n">
        <v>0</v>
      </c>
      <c r="E17" s="14" t="n">
        <v>1479898</v>
      </c>
      <c r="F17" s="15"/>
      <c r="H17" s="5"/>
      <c r="I17" s="13" t="s">
        <v>21</v>
      </c>
      <c r="J17" s="14" t="n">
        <v>5314472</v>
      </c>
      <c r="K17" s="16" t="n">
        <v>0.393</v>
      </c>
      <c r="L17" s="14" t="n">
        <v>11026509</v>
      </c>
      <c r="M17" s="16" t="n">
        <v>0.223</v>
      </c>
      <c r="N17" s="14" t="n">
        <v>16340981</v>
      </c>
      <c r="O17" s="14" t="n">
        <v>16340981</v>
      </c>
      <c r="P17" s="15" t="s">
        <v>102</v>
      </c>
      <c r="Q17" s="16" t="n">
        <v>0.325</v>
      </c>
      <c r="R17" s="16" t="n">
        <v>0.675</v>
      </c>
    </row>
    <row r="18" customFormat="false" ht="15" hidden="false" customHeight="false" outlineLevel="0" collapsed="false">
      <c r="A18" s="13" t="s">
        <v>32</v>
      </c>
      <c r="B18" s="14" t="n">
        <v>530220</v>
      </c>
      <c r="C18" s="14" t="n">
        <v>0</v>
      </c>
      <c r="D18" s="14" t="n">
        <v>0</v>
      </c>
      <c r="E18" s="14" t="n">
        <v>530220</v>
      </c>
      <c r="F18" s="15"/>
      <c r="H18" s="5"/>
      <c r="I18" s="13" t="s">
        <v>22</v>
      </c>
      <c r="J18" s="14" t="n">
        <v>0</v>
      </c>
      <c r="K18" s="16" t="n">
        <v>0</v>
      </c>
      <c r="L18" s="14" t="n">
        <v>0</v>
      </c>
      <c r="M18" s="16" t="n">
        <v>0</v>
      </c>
      <c r="N18" s="14" t="n">
        <v>0</v>
      </c>
      <c r="O18" s="14" t="n">
        <v>0</v>
      </c>
      <c r="P18" s="18" t="n">
        <v>2</v>
      </c>
      <c r="Q18" s="22" t="s">
        <v>111</v>
      </c>
      <c r="R18" s="22" t="s">
        <v>111</v>
      </c>
    </row>
    <row r="19" customFormat="false" ht="15" hidden="false" customHeight="false" outlineLevel="0" collapsed="false">
      <c r="A19" s="13" t="s">
        <v>33</v>
      </c>
      <c r="B19" s="14" t="n">
        <v>1381910</v>
      </c>
      <c r="C19" s="14" t="n">
        <v>0</v>
      </c>
      <c r="D19" s="14" t="n">
        <v>0</v>
      </c>
      <c r="E19" s="14" t="n">
        <v>1381910</v>
      </c>
      <c r="F19" s="15"/>
      <c r="H19" s="5"/>
      <c r="I19" s="13" t="s">
        <v>23</v>
      </c>
      <c r="J19" s="14" t="n">
        <v>1477845</v>
      </c>
      <c r="K19" s="16" t="n">
        <v>0.109</v>
      </c>
      <c r="L19" s="14" t="n">
        <v>3706451</v>
      </c>
      <c r="M19" s="16" t="n">
        <v>0.075</v>
      </c>
      <c r="N19" s="14" t="n">
        <v>5184296</v>
      </c>
      <c r="O19" s="14" t="n">
        <v>5184296</v>
      </c>
      <c r="P19" s="18" t="n">
        <v>2</v>
      </c>
      <c r="Q19" s="16" t="n">
        <v>0.285</v>
      </c>
      <c r="R19" s="16" t="n">
        <v>0.715</v>
      </c>
    </row>
    <row r="20" customFormat="false" ht="15" hidden="false" customHeight="false" outlineLevel="0" collapsed="false">
      <c r="A20" s="13" t="s">
        <v>34</v>
      </c>
      <c r="B20" s="14" t="n">
        <v>113750</v>
      </c>
      <c r="C20" s="14" t="n">
        <v>126000</v>
      </c>
      <c r="D20" s="14" t="n">
        <v>0</v>
      </c>
      <c r="E20" s="14" t="n">
        <v>239750</v>
      </c>
      <c r="F20" s="15"/>
      <c r="H20" s="5"/>
      <c r="I20" s="13" t="s">
        <v>24</v>
      </c>
      <c r="J20" s="14" t="n">
        <v>0</v>
      </c>
      <c r="K20" s="16" t="n">
        <v>0</v>
      </c>
      <c r="L20" s="14" t="n">
        <v>0</v>
      </c>
      <c r="M20" s="16" t="n">
        <v>0</v>
      </c>
      <c r="N20" s="14" t="n">
        <v>0</v>
      </c>
      <c r="O20" s="14" t="n">
        <v>0</v>
      </c>
      <c r="P20" s="18" t="n">
        <v>2</v>
      </c>
      <c r="Q20" s="22" t="s">
        <v>111</v>
      </c>
      <c r="R20" s="22" t="s">
        <v>111</v>
      </c>
    </row>
    <row r="21" customFormat="false" ht="15" hidden="false" customHeight="false" outlineLevel="0" collapsed="false">
      <c r="A21" s="13" t="s">
        <v>35</v>
      </c>
      <c r="B21" s="14" t="n">
        <v>1611169</v>
      </c>
      <c r="C21" s="14" t="n">
        <v>1229868</v>
      </c>
      <c r="D21" s="14" t="n">
        <v>626800</v>
      </c>
      <c r="E21" s="14" t="n">
        <v>3467837</v>
      </c>
      <c r="F21" s="15"/>
      <c r="H21" s="5"/>
      <c r="I21" s="13" t="s">
        <v>25</v>
      </c>
      <c r="J21" s="14" t="n">
        <v>0</v>
      </c>
      <c r="K21" s="16" t="n">
        <v>0</v>
      </c>
      <c r="L21" s="14" t="n">
        <v>0</v>
      </c>
      <c r="M21" s="16" t="n">
        <v>0</v>
      </c>
      <c r="N21" s="14" t="n">
        <v>0</v>
      </c>
      <c r="O21" s="14" t="n">
        <v>0</v>
      </c>
      <c r="P21" s="18" t="n">
        <v>4</v>
      </c>
      <c r="Q21" s="22" t="s">
        <v>111</v>
      </c>
      <c r="R21" s="22" t="s">
        <v>111</v>
      </c>
    </row>
    <row r="22" customFormat="false" ht="15" hidden="false" customHeight="false" outlineLevel="0" collapsed="false">
      <c r="A22" s="13" t="s">
        <v>36</v>
      </c>
      <c r="B22" s="14" t="n">
        <v>504000</v>
      </c>
      <c r="C22" s="14" t="n">
        <v>1810882</v>
      </c>
      <c r="D22" s="14" t="n">
        <v>0</v>
      </c>
      <c r="E22" s="14" t="n">
        <v>2314882</v>
      </c>
      <c r="F22" s="15"/>
      <c r="H22" s="5"/>
      <c r="I22" s="13" t="s">
        <v>26</v>
      </c>
      <c r="J22" s="14" t="n">
        <v>0</v>
      </c>
      <c r="K22" s="16" t="n">
        <v>0</v>
      </c>
      <c r="L22" s="14" t="n">
        <v>0</v>
      </c>
      <c r="M22" s="16" t="n">
        <v>0</v>
      </c>
      <c r="N22" s="14" t="n">
        <v>0</v>
      </c>
      <c r="O22" s="14" t="n">
        <v>0</v>
      </c>
      <c r="P22" s="18" t="n">
        <v>0</v>
      </c>
      <c r="Q22" s="22" t="s">
        <v>111</v>
      </c>
      <c r="R22" s="22" t="s">
        <v>111</v>
      </c>
    </row>
    <row r="23" customFormat="false" ht="15" hidden="false" customHeight="false" outlineLevel="0" collapsed="false">
      <c r="A23" s="13" t="s">
        <v>39</v>
      </c>
      <c r="B23" s="14" t="n">
        <v>16800</v>
      </c>
      <c r="C23" s="14" t="n">
        <v>2880</v>
      </c>
      <c r="D23" s="14" t="n">
        <v>759300</v>
      </c>
      <c r="E23" s="14" t="n">
        <v>778980</v>
      </c>
      <c r="F23" s="15"/>
      <c r="H23" s="21" t="s">
        <v>27</v>
      </c>
      <c r="I23" s="9" t="s">
        <v>28</v>
      </c>
      <c r="J23" s="11" t="n">
        <v>6792317</v>
      </c>
      <c r="K23" s="19" t="n">
        <v>0.502</v>
      </c>
      <c r="L23" s="11" t="n">
        <v>14732960</v>
      </c>
      <c r="M23" s="19" t="n">
        <v>0.298</v>
      </c>
      <c r="N23" s="11" t="n">
        <v>21525277</v>
      </c>
      <c r="O23" s="11" t="n">
        <v>21525277</v>
      </c>
      <c r="P23" s="20"/>
      <c r="Q23" s="19" t="n">
        <v>0.316</v>
      </c>
      <c r="R23" s="19" t="n">
        <v>0.684</v>
      </c>
    </row>
    <row r="24" customFormat="false" ht="15" hidden="false" customHeight="false" outlineLevel="0" collapsed="false">
      <c r="A24" s="13" t="s">
        <v>112</v>
      </c>
      <c r="B24" s="14" t="n">
        <v>32290</v>
      </c>
      <c r="C24" s="14" t="n">
        <v>0</v>
      </c>
      <c r="D24" s="14" t="n">
        <v>4832</v>
      </c>
      <c r="E24" s="14" t="n">
        <v>37122</v>
      </c>
      <c r="F24" s="15"/>
      <c r="H24" s="21" t="s">
        <v>17</v>
      </c>
      <c r="I24" s="9" t="s">
        <v>29</v>
      </c>
      <c r="J24" s="11" t="n">
        <v>5280131</v>
      </c>
      <c r="K24" s="19" t="n">
        <v>0.391</v>
      </c>
      <c r="L24" s="11" t="n">
        <v>9488351</v>
      </c>
      <c r="M24" s="19" t="n">
        <v>0.192</v>
      </c>
      <c r="N24" s="11" t="n">
        <v>14768482</v>
      </c>
      <c r="O24" s="11" t="n">
        <v>14768482</v>
      </c>
      <c r="P24" s="20"/>
      <c r="Q24" s="19" t="n">
        <v>0.358</v>
      </c>
      <c r="R24" s="19" t="n">
        <v>0.642</v>
      </c>
    </row>
    <row r="25" customFormat="false" ht="15" hidden="false" customHeight="false" outlineLevel="0" collapsed="false">
      <c r="F25" s="23"/>
      <c r="H25" s="5"/>
      <c r="I25" s="13" t="s">
        <v>30</v>
      </c>
      <c r="J25" s="14" t="n">
        <v>755660</v>
      </c>
      <c r="K25" s="16" t="n">
        <v>0.056</v>
      </c>
      <c r="L25" s="14" t="n">
        <v>4598325</v>
      </c>
      <c r="M25" s="16" t="n">
        <v>0.093</v>
      </c>
      <c r="N25" s="14" t="n">
        <v>5353985</v>
      </c>
      <c r="O25" s="5"/>
      <c r="P25" s="15"/>
      <c r="Q25" s="16" t="n">
        <v>0.141</v>
      </c>
      <c r="R25" s="16" t="n">
        <v>0.859</v>
      </c>
    </row>
    <row r="26" customFormat="false" ht="15" hidden="false" customHeight="false" outlineLevel="0" collapsed="false">
      <c r="A26" s="24" t="s">
        <v>113</v>
      </c>
      <c r="B26" s="25" t="s">
        <v>92</v>
      </c>
      <c r="C26" s="25" t="s">
        <v>93</v>
      </c>
      <c r="D26" s="25" t="s">
        <v>96</v>
      </c>
      <c r="E26" s="25" t="s">
        <v>95</v>
      </c>
      <c r="F26" s="23"/>
      <c r="H26" s="5"/>
      <c r="I26" s="13" t="s">
        <v>31</v>
      </c>
      <c r="J26" s="14" t="n">
        <v>286352</v>
      </c>
      <c r="K26" s="16" t="n">
        <v>0.021</v>
      </c>
      <c r="L26" s="14" t="n">
        <v>1193546</v>
      </c>
      <c r="M26" s="16" t="n">
        <v>0.024</v>
      </c>
      <c r="N26" s="14" t="n">
        <v>1479898</v>
      </c>
      <c r="O26" s="5"/>
      <c r="P26" s="15"/>
      <c r="Q26" s="16" t="n">
        <v>0.193</v>
      </c>
      <c r="R26" s="16" t="n">
        <v>0.807</v>
      </c>
    </row>
    <row r="27" customFormat="false" ht="15" hidden="false" customHeight="false" outlineLevel="0" collapsed="false">
      <c r="A27" s="13" t="s">
        <v>101</v>
      </c>
      <c r="B27" s="14" t="n">
        <v>13484950</v>
      </c>
      <c r="C27" s="14" t="n">
        <v>49069124</v>
      </c>
      <c r="D27" s="14" t="n">
        <v>4</v>
      </c>
      <c r="E27" s="14" t="n">
        <v>62554074</v>
      </c>
      <c r="F27" s="23"/>
      <c r="H27" s="5"/>
      <c r="I27" s="13" t="s">
        <v>32</v>
      </c>
      <c r="J27" s="14" t="n">
        <v>530220</v>
      </c>
      <c r="K27" s="16" t="n">
        <v>0.039</v>
      </c>
      <c r="L27" s="14" t="n">
        <v>0</v>
      </c>
      <c r="M27" s="16" t="n">
        <v>0</v>
      </c>
      <c r="N27" s="14" t="n">
        <v>530220</v>
      </c>
      <c r="O27" s="5"/>
      <c r="P27" s="15"/>
      <c r="Q27" s="16" t="n">
        <v>1</v>
      </c>
      <c r="R27" s="16" t="n">
        <v>0</v>
      </c>
    </row>
    <row r="28" customFormat="false" ht="15" hidden="false" customHeight="false" outlineLevel="0" collapsed="false">
      <c r="A28" s="13" t="s">
        <v>104</v>
      </c>
      <c r="B28" s="14" t="n">
        <v>19</v>
      </c>
      <c r="C28" s="14" t="n">
        <v>47</v>
      </c>
      <c r="D28" s="14" t="n">
        <v>4</v>
      </c>
      <c r="E28" s="14" t="n">
        <v>66</v>
      </c>
      <c r="F28" s="23"/>
      <c r="H28" s="5"/>
      <c r="I28" s="13" t="s">
        <v>33</v>
      </c>
      <c r="J28" s="14" t="n">
        <v>1381910</v>
      </c>
      <c r="K28" s="16" t="n">
        <v>0.102</v>
      </c>
      <c r="L28" s="14" t="n">
        <v>0</v>
      </c>
      <c r="M28" s="16" t="n">
        <v>0</v>
      </c>
      <c r="N28" s="14" t="n">
        <v>1381910</v>
      </c>
      <c r="O28" s="5"/>
      <c r="P28" s="15"/>
      <c r="Q28" s="16" t="n">
        <v>1</v>
      </c>
      <c r="R28" s="16" t="n">
        <v>0</v>
      </c>
    </row>
    <row r="29" customFormat="false" ht="15" hidden="false" customHeight="false" outlineLevel="0" collapsed="false">
      <c r="A29" s="13" t="s">
        <v>106</v>
      </c>
      <c r="B29" s="14" t="n">
        <v>47</v>
      </c>
      <c r="C29" s="14" t="n">
        <v>115</v>
      </c>
      <c r="D29" s="14" t="n">
        <v>3</v>
      </c>
      <c r="E29" s="14" t="n">
        <v>162</v>
      </c>
      <c r="F29" s="23"/>
      <c r="H29" s="5"/>
      <c r="I29" s="13" t="s">
        <v>34</v>
      </c>
      <c r="J29" s="14" t="n">
        <v>113750</v>
      </c>
      <c r="K29" s="16" t="n">
        <v>0.008</v>
      </c>
      <c r="L29" s="14" t="n">
        <v>126000</v>
      </c>
      <c r="M29" s="16" t="n">
        <v>0.003</v>
      </c>
      <c r="N29" s="14" t="n">
        <v>239750</v>
      </c>
      <c r="O29" s="5"/>
      <c r="P29" s="15"/>
      <c r="Q29" s="16" t="n">
        <v>0.474</v>
      </c>
      <c r="R29" s="16" t="n">
        <v>0.526</v>
      </c>
    </row>
    <row r="30" customFormat="false" ht="15" hidden="false" customHeight="false" outlineLevel="0" collapsed="false">
      <c r="A30" s="13" t="s">
        <v>108</v>
      </c>
      <c r="B30" s="14" t="n">
        <v>120760</v>
      </c>
      <c r="C30" s="14" t="n">
        <v>659013</v>
      </c>
      <c r="D30" s="14" t="n">
        <v>4</v>
      </c>
      <c r="E30" s="14" t="n">
        <v>779773</v>
      </c>
      <c r="F30" s="23"/>
      <c r="H30" s="5"/>
      <c r="I30" s="13" t="s">
        <v>35</v>
      </c>
      <c r="J30" s="14" t="n">
        <v>1708239</v>
      </c>
      <c r="K30" s="16" t="n">
        <v>0.126</v>
      </c>
      <c r="L30" s="14" t="n">
        <v>1759598</v>
      </c>
      <c r="M30" s="16" t="n">
        <v>0.036</v>
      </c>
      <c r="N30" s="14" t="n">
        <v>3467837</v>
      </c>
      <c r="O30" s="5"/>
      <c r="P30" s="15"/>
      <c r="Q30" s="16" t="n">
        <v>0.493</v>
      </c>
      <c r="R30" s="16" t="n">
        <v>0.507</v>
      </c>
    </row>
    <row r="31" customFormat="false" ht="15" hidden="false" customHeight="false" outlineLevel="0" collapsed="false">
      <c r="A31" s="13" t="s">
        <v>19</v>
      </c>
      <c r="B31" s="14" t="n">
        <v>338486</v>
      </c>
      <c r="C31" s="14" t="n">
        <v>2511485</v>
      </c>
      <c r="D31" s="14" t="n">
        <v>4</v>
      </c>
      <c r="E31" s="14" t="n">
        <v>2849971</v>
      </c>
      <c r="F31" s="23"/>
      <c r="H31" s="5"/>
      <c r="I31" s="13" t="s">
        <v>36</v>
      </c>
      <c r="J31" s="14" t="n">
        <v>504000</v>
      </c>
      <c r="K31" s="16" t="n">
        <v>0.037</v>
      </c>
      <c r="L31" s="14" t="n">
        <v>1810882</v>
      </c>
      <c r="M31" s="16" t="n">
        <v>0.037</v>
      </c>
      <c r="N31" s="14" t="n">
        <v>2314882</v>
      </c>
      <c r="O31" s="5"/>
      <c r="P31" s="15"/>
      <c r="Q31" s="16" t="n">
        <v>0.218</v>
      </c>
      <c r="R31" s="16" t="n">
        <v>0.782</v>
      </c>
    </row>
    <row r="32" customFormat="false" ht="15" hidden="false" customHeight="false" outlineLevel="0" collapsed="false">
      <c r="A32" s="13" t="s">
        <v>20</v>
      </c>
      <c r="B32" s="14" t="n">
        <v>1113080</v>
      </c>
      <c r="C32" s="14" t="n">
        <v>727050</v>
      </c>
      <c r="D32" s="14" t="n">
        <v>4</v>
      </c>
      <c r="E32" s="14" t="n">
        <v>1840130</v>
      </c>
      <c r="F32" s="23"/>
      <c r="H32" s="5" t="s">
        <v>17</v>
      </c>
      <c r="I32" s="13" t="s">
        <v>37</v>
      </c>
      <c r="J32" s="14" t="n">
        <v>194747</v>
      </c>
      <c r="K32" s="16" t="n">
        <v>0.014</v>
      </c>
      <c r="L32" s="14" t="n">
        <v>1062774</v>
      </c>
      <c r="M32" s="16" t="n">
        <v>0.021</v>
      </c>
      <c r="N32" s="14" t="n">
        <v>1257521</v>
      </c>
      <c r="O32" s="14" t="n">
        <v>1257521</v>
      </c>
      <c r="P32" s="18" t="n">
        <v>4</v>
      </c>
      <c r="Q32" s="16" t="n">
        <v>0.155</v>
      </c>
      <c r="R32" s="16" t="n">
        <v>0.845</v>
      </c>
    </row>
    <row r="33" customFormat="false" ht="15" hidden="false" customHeight="false" outlineLevel="0" collapsed="false">
      <c r="A33" s="13" t="s">
        <v>110</v>
      </c>
      <c r="B33" s="14" t="n">
        <v>5314472</v>
      </c>
      <c r="C33" s="14" t="n">
        <v>11026509</v>
      </c>
      <c r="D33" s="14" t="n">
        <v>4</v>
      </c>
      <c r="E33" s="14" t="n">
        <v>16340981</v>
      </c>
      <c r="F33" s="23"/>
      <c r="H33" s="5" t="s">
        <v>27</v>
      </c>
      <c r="I33" s="13" t="s">
        <v>38</v>
      </c>
      <c r="J33" s="14" t="n">
        <v>103118</v>
      </c>
      <c r="K33" s="16" t="n">
        <v>0.008</v>
      </c>
      <c r="L33" s="14" t="n">
        <v>103118</v>
      </c>
      <c r="M33" s="16" t="n">
        <v>0.002</v>
      </c>
      <c r="N33" s="14" t="n">
        <v>206236</v>
      </c>
      <c r="O33" s="14" t="n">
        <v>206236</v>
      </c>
      <c r="P33" s="18" t="n">
        <v>0</v>
      </c>
      <c r="Q33" s="16" t="n">
        <v>0.5</v>
      </c>
      <c r="R33" s="16" t="n">
        <v>0.5</v>
      </c>
    </row>
    <row r="34" customFormat="false" ht="15" hidden="false" customHeight="false" outlineLevel="0" collapsed="false">
      <c r="A34" s="13" t="s">
        <v>30</v>
      </c>
      <c r="B34" s="14" t="n">
        <v>755660</v>
      </c>
      <c r="C34" s="14" t="n">
        <v>4598325</v>
      </c>
      <c r="D34" s="14" t="n">
        <v>4</v>
      </c>
      <c r="E34" s="14" t="n">
        <v>5353985</v>
      </c>
      <c r="F34" s="23"/>
      <c r="H34" s="5" t="s">
        <v>17</v>
      </c>
      <c r="I34" s="13" t="s">
        <v>39</v>
      </c>
      <c r="J34" s="14" t="n">
        <v>134389</v>
      </c>
      <c r="K34" s="16" t="n">
        <v>0.01</v>
      </c>
      <c r="L34" s="14" t="n">
        <v>644591</v>
      </c>
      <c r="M34" s="16" t="n">
        <v>0.013</v>
      </c>
      <c r="N34" s="14" t="n">
        <v>778980</v>
      </c>
      <c r="O34" s="14" t="n">
        <v>778980</v>
      </c>
      <c r="P34" s="15" t="s">
        <v>102</v>
      </c>
      <c r="Q34" s="16" t="n">
        <v>0.173</v>
      </c>
      <c r="R34" s="16" t="n">
        <v>0.827</v>
      </c>
    </row>
    <row r="35" customFormat="false" ht="15" hidden="false" customHeight="false" outlineLevel="0" collapsed="false">
      <c r="A35" s="13" t="s">
        <v>31</v>
      </c>
      <c r="B35" s="14" t="n">
        <v>286352</v>
      </c>
      <c r="C35" s="14" t="n">
        <v>1193546</v>
      </c>
      <c r="D35" s="14" t="n">
        <v>4</v>
      </c>
      <c r="E35" s="14" t="n">
        <v>1479898</v>
      </c>
      <c r="F35" s="23"/>
      <c r="H35" s="5" t="s">
        <v>27</v>
      </c>
      <c r="I35" s="13" t="s">
        <v>40</v>
      </c>
      <c r="J35" s="14" t="n">
        <v>2549697</v>
      </c>
      <c r="K35" s="16" t="n">
        <v>0.189</v>
      </c>
      <c r="L35" s="14" t="n">
        <v>5042546</v>
      </c>
      <c r="M35" s="16" t="n">
        <v>0.102</v>
      </c>
      <c r="N35" s="14" t="n">
        <v>7592243</v>
      </c>
      <c r="O35" s="14" t="n">
        <v>0</v>
      </c>
      <c r="P35" s="15" t="s">
        <v>102</v>
      </c>
      <c r="Q35" s="16" t="n">
        <v>0.336</v>
      </c>
      <c r="R35" s="16" t="n">
        <v>0.664</v>
      </c>
    </row>
    <row r="36" customFormat="false" ht="15" hidden="false" customHeight="false" outlineLevel="0" collapsed="false">
      <c r="A36" s="13" t="s">
        <v>32</v>
      </c>
      <c r="B36" s="14" t="n">
        <v>530220</v>
      </c>
      <c r="C36" s="14" t="n">
        <v>0</v>
      </c>
      <c r="D36" s="14" t="n">
        <v>4</v>
      </c>
      <c r="E36" s="14" t="n">
        <v>530220</v>
      </c>
      <c r="F36" s="23"/>
      <c r="H36" s="5" t="s">
        <v>17</v>
      </c>
      <c r="I36" s="13" t="s">
        <v>41</v>
      </c>
      <c r="J36" s="14" t="n">
        <v>98018</v>
      </c>
      <c r="K36" s="16" t="n">
        <v>0.007</v>
      </c>
      <c r="L36" s="14" t="n">
        <v>534902</v>
      </c>
      <c r="M36" s="16" t="n">
        <v>0.011</v>
      </c>
      <c r="N36" s="14" t="n">
        <v>632920</v>
      </c>
      <c r="O36" s="14" t="n">
        <v>632920</v>
      </c>
      <c r="P36" s="18" t="n">
        <v>4</v>
      </c>
      <c r="Q36" s="16" t="n">
        <v>0.155</v>
      </c>
      <c r="R36" s="16" t="n">
        <v>0.845</v>
      </c>
    </row>
    <row r="37" customFormat="false" ht="15" hidden="false" customHeight="false" outlineLevel="0" collapsed="false">
      <c r="A37" s="13" t="s">
        <v>33</v>
      </c>
      <c r="B37" s="14" t="n">
        <v>1381910</v>
      </c>
      <c r="C37" s="14" t="n">
        <v>0</v>
      </c>
      <c r="D37" s="14" t="n">
        <v>4</v>
      </c>
      <c r="E37" s="14" t="n">
        <v>1381910</v>
      </c>
      <c r="F37" s="23"/>
      <c r="H37" s="5" t="s">
        <v>27</v>
      </c>
      <c r="I37" s="13" t="s">
        <v>42</v>
      </c>
      <c r="J37" s="14" t="n">
        <v>29842</v>
      </c>
      <c r="K37" s="16" t="n">
        <v>0.002</v>
      </c>
      <c r="L37" s="14" t="n">
        <v>162853</v>
      </c>
      <c r="M37" s="16" t="n">
        <v>0.003</v>
      </c>
      <c r="N37" s="14" t="n">
        <v>192695</v>
      </c>
      <c r="O37" s="14" t="n">
        <v>192695</v>
      </c>
      <c r="P37" s="18" t="n">
        <v>4</v>
      </c>
      <c r="Q37" s="16" t="n">
        <v>0.155</v>
      </c>
      <c r="R37" s="16" t="n">
        <v>0.845</v>
      </c>
    </row>
    <row r="38" customFormat="false" ht="15" hidden="false" customHeight="false" outlineLevel="0" collapsed="false">
      <c r="A38" s="13" t="s">
        <v>34</v>
      </c>
      <c r="B38" s="14" t="n">
        <v>113750</v>
      </c>
      <c r="C38" s="14" t="n">
        <v>126000</v>
      </c>
      <c r="D38" s="14" t="n">
        <v>4</v>
      </c>
      <c r="E38" s="14" t="n">
        <v>239750</v>
      </c>
      <c r="F38" s="23"/>
      <c r="H38" s="5" t="s">
        <v>27</v>
      </c>
      <c r="I38" s="13" t="s">
        <v>43</v>
      </c>
      <c r="J38" s="14" t="n">
        <v>6848</v>
      </c>
      <c r="K38" s="16" t="n">
        <v>0.001</v>
      </c>
      <c r="L38" s="14" t="n">
        <v>37372</v>
      </c>
      <c r="M38" s="16" t="n">
        <v>0.001</v>
      </c>
      <c r="N38" s="14" t="n">
        <v>44220</v>
      </c>
      <c r="O38" s="14" t="n">
        <v>44220</v>
      </c>
      <c r="P38" s="18" t="n">
        <v>4</v>
      </c>
      <c r="Q38" s="16" t="n">
        <v>0.155</v>
      </c>
      <c r="R38" s="16" t="n">
        <v>0.845</v>
      </c>
    </row>
    <row r="39" customFormat="false" ht="15" hidden="false" customHeight="false" outlineLevel="0" collapsed="false">
      <c r="A39" s="13" t="s">
        <v>35</v>
      </c>
      <c r="B39" s="14" t="n">
        <v>1708239</v>
      </c>
      <c r="C39" s="14" t="n">
        <v>1759598</v>
      </c>
      <c r="D39" s="14" t="n">
        <v>4</v>
      </c>
      <c r="E39" s="14" t="n">
        <v>3467837</v>
      </c>
      <c r="F39" s="23"/>
      <c r="H39" s="5" t="s">
        <v>27</v>
      </c>
      <c r="I39" s="13" t="s">
        <v>44</v>
      </c>
      <c r="J39" s="14" t="n">
        <v>0</v>
      </c>
      <c r="K39" s="16" t="n">
        <v>0</v>
      </c>
      <c r="L39" s="14" t="n">
        <v>0</v>
      </c>
      <c r="M39" s="16" t="n">
        <v>0</v>
      </c>
      <c r="N39" s="14" t="n">
        <v>0</v>
      </c>
      <c r="O39" s="14" t="n">
        <v>0</v>
      </c>
      <c r="P39" s="18" t="n">
        <v>1</v>
      </c>
      <c r="Q39" s="22" t="s">
        <v>111</v>
      </c>
      <c r="R39" s="22" t="s">
        <v>111</v>
      </c>
    </row>
    <row r="40" customFormat="false" ht="15" hidden="false" customHeight="false" outlineLevel="0" collapsed="false">
      <c r="A40" s="13" t="s">
        <v>36</v>
      </c>
      <c r="B40" s="14" t="n">
        <v>504000</v>
      </c>
      <c r="C40" s="14" t="n">
        <v>1810882</v>
      </c>
      <c r="D40" s="14" t="n">
        <v>4</v>
      </c>
      <c r="E40" s="14" t="n">
        <v>2314882</v>
      </c>
      <c r="F40" s="23"/>
      <c r="H40" s="5" t="s">
        <v>17</v>
      </c>
      <c r="I40" s="13" t="s">
        <v>45</v>
      </c>
      <c r="J40" s="14" t="n">
        <v>0</v>
      </c>
      <c r="K40" s="16" t="n">
        <v>0</v>
      </c>
      <c r="L40" s="14" t="n">
        <v>0</v>
      </c>
      <c r="M40" s="16" t="n">
        <v>0</v>
      </c>
      <c r="N40" s="14" t="n">
        <v>0</v>
      </c>
      <c r="O40" s="14" t="n">
        <v>0</v>
      </c>
      <c r="P40" s="18" t="n">
        <v>4</v>
      </c>
      <c r="Q40" s="22" t="s">
        <v>111</v>
      </c>
      <c r="R40" s="22" t="s">
        <v>111</v>
      </c>
    </row>
    <row r="41" customFormat="false" ht="15" hidden="false" customHeight="false" outlineLevel="0" collapsed="false">
      <c r="A41" s="13" t="s">
        <v>39</v>
      </c>
      <c r="B41" s="14" t="n">
        <v>134389</v>
      </c>
      <c r="C41" s="14" t="n">
        <v>644591</v>
      </c>
      <c r="D41" s="14" t="n">
        <v>4</v>
      </c>
      <c r="E41" s="14" t="n">
        <v>778980</v>
      </c>
      <c r="F41" s="23"/>
      <c r="H41" s="5" t="s">
        <v>17</v>
      </c>
      <c r="I41" s="13" t="s">
        <v>46</v>
      </c>
      <c r="J41" s="14" t="n">
        <v>14790</v>
      </c>
      <c r="K41" s="16" t="n">
        <v>0.001</v>
      </c>
      <c r="L41" s="14" t="n">
        <v>80710</v>
      </c>
      <c r="M41" s="16" t="n">
        <v>0.002</v>
      </c>
      <c r="N41" s="14" t="n">
        <v>95500</v>
      </c>
      <c r="O41" s="14" t="n">
        <v>95500</v>
      </c>
      <c r="P41" s="18" t="n">
        <v>4</v>
      </c>
      <c r="Q41" s="16" t="n">
        <v>0.155</v>
      </c>
      <c r="R41" s="16" t="n">
        <v>0.845</v>
      </c>
    </row>
    <row r="42" customFormat="false" ht="15" hidden="false" customHeight="false" outlineLevel="0" collapsed="false">
      <c r="A42" s="13" t="s">
        <v>112</v>
      </c>
      <c r="B42" s="14" t="n">
        <v>33038</v>
      </c>
      <c r="C42" s="14" t="n">
        <v>4084</v>
      </c>
      <c r="D42" s="14" t="n">
        <v>4</v>
      </c>
      <c r="E42" s="14" t="n">
        <v>37122</v>
      </c>
      <c r="F42" s="23"/>
      <c r="H42" s="5" t="s">
        <v>17</v>
      </c>
      <c r="I42" s="13" t="s">
        <v>47</v>
      </c>
      <c r="J42" s="14" t="n">
        <v>78837</v>
      </c>
      <c r="K42" s="16" t="n">
        <v>0.006</v>
      </c>
      <c r="L42" s="14" t="n">
        <v>430230</v>
      </c>
      <c r="M42" s="16" t="n">
        <v>0.009</v>
      </c>
      <c r="N42" s="14" t="n">
        <v>509067</v>
      </c>
      <c r="O42" s="14" t="n">
        <v>509067</v>
      </c>
      <c r="P42" s="18" t="n">
        <v>4</v>
      </c>
      <c r="Q42" s="16" t="n">
        <v>0.155</v>
      </c>
      <c r="R42" s="16" t="n">
        <v>0.845</v>
      </c>
    </row>
    <row r="43" customFormat="false" ht="15" hidden="false" customHeight="false" outlineLevel="0" collapsed="false">
      <c r="F43" s="23"/>
      <c r="H43" s="5" t="s">
        <v>27</v>
      </c>
      <c r="I43" s="13" t="s">
        <v>48</v>
      </c>
      <c r="J43" s="14" t="n">
        <v>118591</v>
      </c>
      <c r="K43" s="16" t="n">
        <v>0.009</v>
      </c>
      <c r="L43" s="14" t="n">
        <v>118591</v>
      </c>
      <c r="M43" s="16" t="n">
        <v>0.002</v>
      </c>
      <c r="N43" s="14" t="n">
        <v>237182</v>
      </c>
      <c r="O43" s="14" t="n">
        <v>237182</v>
      </c>
      <c r="P43" s="18" t="n">
        <v>0</v>
      </c>
      <c r="Q43" s="16" t="n">
        <v>0.5</v>
      </c>
      <c r="R43" s="16" t="n">
        <v>0.5</v>
      </c>
    </row>
    <row r="44" customFormat="false" ht="15" hidden="false" customHeight="false" outlineLevel="0" collapsed="false">
      <c r="A44" s="26" t="s">
        <v>114</v>
      </c>
      <c r="B44" s="27" t="s">
        <v>92</v>
      </c>
      <c r="C44" s="27" t="s">
        <v>93</v>
      </c>
      <c r="D44" s="27" t="s">
        <v>95</v>
      </c>
      <c r="E44" s="27" t="s">
        <v>96</v>
      </c>
      <c r="F44" s="23"/>
      <c r="H44" s="5" t="s">
        <v>27</v>
      </c>
      <c r="I44" s="13" t="s">
        <v>49</v>
      </c>
      <c r="J44" s="14" t="n">
        <v>151950</v>
      </c>
      <c r="K44" s="16" t="n">
        <v>0.011</v>
      </c>
      <c r="L44" s="14" t="n">
        <v>151950</v>
      </c>
      <c r="M44" s="16" t="n">
        <v>0.003</v>
      </c>
      <c r="N44" s="14" t="n">
        <v>303900</v>
      </c>
      <c r="O44" s="14" t="n">
        <v>303900</v>
      </c>
      <c r="P44" s="18" t="n">
        <v>0</v>
      </c>
      <c r="Q44" s="16" t="n">
        <v>0.5</v>
      </c>
      <c r="R44" s="16" t="n">
        <v>0.5</v>
      </c>
    </row>
    <row r="45" customFormat="false" ht="15" hidden="false" customHeight="false" outlineLevel="0" collapsed="false">
      <c r="A45" s="13" t="s">
        <v>101</v>
      </c>
      <c r="B45" s="17" t="n">
        <v>0.2156</v>
      </c>
      <c r="C45" s="17" t="n">
        <v>0.7844</v>
      </c>
      <c r="D45" s="17" t="n">
        <v>1</v>
      </c>
      <c r="E45" s="14" t="n">
        <v>1</v>
      </c>
      <c r="F45" s="23"/>
      <c r="H45" s="21"/>
      <c r="I45" s="9" t="s">
        <v>50</v>
      </c>
      <c r="J45" s="11" t="n">
        <v>3480826</v>
      </c>
      <c r="K45" s="19" t="n">
        <v>0.257</v>
      </c>
      <c r="L45" s="11" t="n">
        <v>8369638</v>
      </c>
      <c r="M45" s="19" t="n">
        <v>0.169</v>
      </c>
      <c r="N45" s="11" t="n">
        <v>11850464</v>
      </c>
      <c r="O45" s="11" t="n">
        <v>4258221</v>
      </c>
      <c r="P45" s="20"/>
      <c r="Q45" s="19" t="n">
        <v>0.294</v>
      </c>
      <c r="R45" s="19" t="n">
        <v>0.706</v>
      </c>
    </row>
    <row r="46" customFormat="false" ht="15" hidden="false" customHeight="false" outlineLevel="0" collapsed="false">
      <c r="A46" s="13" t="s">
        <v>104</v>
      </c>
      <c r="B46" s="17" t="n">
        <v>0.2851</v>
      </c>
      <c r="C46" s="17" t="n">
        <v>0.7149</v>
      </c>
      <c r="D46" s="17" t="n">
        <v>1</v>
      </c>
      <c r="E46" s="14" t="n">
        <v>2</v>
      </c>
      <c r="F46" s="23"/>
      <c r="H46" s="21"/>
      <c r="I46" s="9" t="s">
        <v>51</v>
      </c>
      <c r="J46" s="11" t="n">
        <v>17004841</v>
      </c>
      <c r="K46" s="19" t="n">
        <v>1.258</v>
      </c>
      <c r="L46" s="11" t="n">
        <v>35829483</v>
      </c>
      <c r="M46" s="19" t="n">
        <v>0.725</v>
      </c>
      <c r="N46" s="11" t="n">
        <v>52834324</v>
      </c>
      <c r="O46" s="11" t="n">
        <v>45242081</v>
      </c>
      <c r="P46" s="20"/>
      <c r="Q46" s="19" t="n">
        <v>0.322</v>
      </c>
      <c r="R46" s="19" t="n">
        <v>0.678</v>
      </c>
    </row>
    <row r="47" customFormat="false" ht="15" hidden="false" customHeight="false" outlineLevel="0" collapsed="false">
      <c r="A47" s="13" t="s">
        <v>106</v>
      </c>
      <c r="B47" s="17" t="n">
        <v>0.2901</v>
      </c>
      <c r="C47" s="17" t="n">
        <v>0.7099</v>
      </c>
      <c r="D47" s="17" t="n">
        <v>1</v>
      </c>
      <c r="E47" s="14" t="n">
        <v>3</v>
      </c>
      <c r="F47" s="23"/>
      <c r="P47" s="23"/>
    </row>
    <row r="48" customFormat="false" ht="15" hidden="false" customHeight="false" outlineLevel="0" collapsed="false">
      <c r="A48" s="13" t="s">
        <v>108</v>
      </c>
      <c r="B48" s="17" t="n">
        <v>0.1549</v>
      </c>
      <c r="C48" s="17" t="n">
        <v>0.8451</v>
      </c>
      <c r="D48" s="17" t="n">
        <v>1</v>
      </c>
      <c r="E48" s="14" t="n">
        <v>4</v>
      </c>
      <c r="F48" s="23"/>
      <c r="H48" s="12"/>
      <c r="I48" s="12" t="s">
        <v>2</v>
      </c>
      <c r="J48" s="12" t="s">
        <v>92</v>
      </c>
      <c r="K48" s="12" t="s">
        <v>97</v>
      </c>
      <c r="L48" s="12" t="s">
        <v>93</v>
      </c>
      <c r="M48" s="12" t="s">
        <v>97</v>
      </c>
      <c r="N48" s="12" t="s">
        <v>98</v>
      </c>
      <c r="O48" s="12" t="s">
        <v>95</v>
      </c>
      <c r="P48" s="12" t="s">
        <v>96</v>
      </c>
      <c r="Q48" s="12" t="s">
        <v>99</v>
      </c>
      <c r="R48" s="12" t="s">
        <v>100</v>
      </c>
    </row>
    <row r="49" customFormat="false" ht="15" hidden="false" customHeight="false" outlineLevel="0" collapsed="false">
      <c r="A49" s="13" t="s">
        <v>19</v>
      </c>
      <c r="B49" s="17" t="n">
        <v>0.1188</v>
      </c>
      <c r="C49" s="17" t="n">
        <v>0.8812</v>
      </c>
      <c r="D49" s="17" t="n">
        <v>1</v>
      </c>
      <c r="E49" s="5"/>
      <c r="F49" s="23"/>
      <c r="H49" s="21"/>
      <c r="I49" s="9" t="s">
        <v>52</v>
      </c>
      <c r="J49" s="11" t="n">
        <v>17004841</v>
      </c>
      <c r="K49" s="19" t="n">
        <v>1.258</v>
      </c>
      <c r="L49" s="11" t="n">
        <v>35829483</v>
      </c>
      <c r="M49" s="19" t="n">
        <v>0.725</v>
      </c>
      <c r="N49" s="11" t="n">
        <v>52834324</v>
      </c>
      <c r="O49" s="11" t="n">
        <v>45242081</v>
      </c>
      <c r="P49" s="20" t="s">
        <v>102</v>
      </c>
      <c r="Q49" s="19" t="n">
        <v>0.322</v>
      </c>
      <c r="R49" s="19" t="n">
        <v>0.678</v>
      </c>
    </row>
    <row r="50" customFormat="false" ht="15" hidden="false" customHeight="false" outlineLevel="0" collapsed="false">
      <c r="A50" s="13" t="s">
        <v>20</v>
      </c>
      <c r="B50" s="17" t="n">
        <v>0.6049</v>
      </c>
      <c r="C50" s="17" t="n">
        <v>0.3951</v>
      </c>
      <c r="D50" s="17" t="n">
        <v>1</v>
      </c>
      <c r="E50" s="5"/>
      <c r="F50" s="23"/>
      <c r="H50" s="21"/>
      <c r="I50" s="9" t="s">
        <v>53</v>
      </c>
      <c r="J50" s="28" t="n">
        <v>-3485751</v>
      </c>
      <c r="K50" s="29" t="n">
        <v>-0.258</v>
      </c>
      <c r="L50" s="11" t="n">
        <v>13602159</v>
      </c>
      <c r="M50" s="19" t="n">
        <v>0.275</v>
      </c>
      <c r="N50" s="11" t="n">
        <v>10116408</v>
      </c>
      <c r="O50" s="11" t="n">
        <v>17708651</v>
      </c>
      <c r="P50" s="20"/>
      <c r="Q50" s="29" t="n">
        <v>-0.345</v>
      </c>
      <c r="R50" s="19" t="n">
        <v>1.345</v>
      </c>
    </row>
    <row r="51" customFormat="false" ht="15" hidden="false" customHeight="false" outlineLevel="0" collapsed="false">
      <c r="A51" s="13" t="s">
        <v>110</v>
      </c>
      <c r="B51" s="17" t="n">
        <v>0.3252</v>
      </c>
      <c r="C51" s="17" t="n">
        <v>0.6748</v>
      </c>
      <c r="D51" s="17" t="n">
        <v>1</v>
      </c>
      <c r="E51" s="5"/>
      <c r="F51" s="23"/>
      <c r="H51" s="5"/>
      <c r="I51" s="13" t="s">
        <v>54</v>
      </c>
      <c r="J51" s="14" t="n">
        <v>1477526</v>
      </c>
      <c r="K51" s="16" t="n">
        <v>0.109</v>
      </c>
      <c r="L51" s="14" t="n">
        <v>1477526</v>
      </c>
      <c r="M51" s="16" t="n">
        <v>0.03</v>
      </c>
      <c r="N51" s="14" t="n">
        <v>2955052</v>
      </c>
      <c r="O51" s="14" t="n">
        <v>2955052</v>
      </c>
      <c r="P51" s="18" t="n">
        <v>0</v>
      </c>
      <c r="Q51" s="16" t="n">
        <v>0.5</v>
      </c>
      <c r="R51" s="16" t="n">
        <v>0.5</v>
      </c>
    </row>
    <row r="52" customFormat="false" ht="15" hidden="false" customHeight="false" outlineLevel="0" collapsed="false">
      <c r="A52" s="13" t="s">
        <v>30</v>
      </c>
      <c r="B52" s="17" t="n">
        <v>0.1411</v>
      </c>
      <c r="C52" s="17" t="n">
        <v>0.8589</v>
      </c>
      <c r="D52" s="17" t="n">
        <v>1</v>
      </c>
      <c r="E52" s="5"/>
      <c r="F52" s="23"/>
      <c r="H52" s="5"/>
      <c r="I52" s="13" t="s">
        <v>55</v>
      </c>
      <c r="J52" s="14" t="n">
        <v>1182682</v>
      </c>
      <c r="K52" s="16" t="n">
        <v>0.087</v>
      </c>
      <c r="L52" s="14" t="n">
        <v>2893798</v>
      </c>
      <c r="M52" s="16" t="n">
        <v>0.059</v>
      </c>
      <c r="N52" s="14" t="n">
        <v>4076480</v>
      </c>
      <c r="O52" s="14" t="n">
        <v>4076480</v>
      </c>
      <c r="P52" s="18" t="n">
        <v>3</v>
      </c>
      <c r="Q52" s="16" t="n">
        <v>0.29</v>
      </c>
      <c r="R52" s="16" t="n">
        <v>0.71</v>
      </c>
    </row>
    <row r="53" customFormat="false" ht="15" hidden="false" customHeight="false" outlineLevel="0" collapsed="false">
      <c r="A53" s="13" t="s">
        <v>31</v>
      </c>
      <c r="B53" s="17" t="n">
        <v>0.1935</v>
      </c>
      <c r="C53" s="17" t="n">
        <v>0.8065</v>
      </c>
      <c r="D53" s="17" t="n">
        <v>1</v>
      </c>
      <c r="E53" s="5"/>
      <c r="F53" s="23"/>
      <c r="H53" s="5"/>
      <c r="I53" s="13" t="s">
        <v>23</v>
      </c>
      <c r="J53" s="14" t="n">
        <v>555250</v>
      </c>
      <c r="K53" s="16" t="n">
        <v>0.041</v>
      </c>
      <c r="L53" s="14" t="n">
        <v>1358592</v>
      </c>
      <c r="M53" s="16" t="n">
        <v>0.027</v>
      </c>
      <c r="N53" s="14" t="n">
        <v>1913842</v>
      </c>
      <c r="O53" s="14" t="n">
        <v>1913842</v>
      </c>
      <c r="P53" s="18" t="n">
        <v>3</v>
      </c>
      <c r="Q53" s="16" t="n">
        <v>0.29</v>
      </c>
      <c r="R53" s="16" t="n">
        <v>0.71</v>
      </c>
    </row>
    <row r="54" customFormat="false" ht="15" hidden="false" customHeight="false" outlineLevel="0" collapsed="false">
      <c r="A54" s="13" t="s">
        <v>32</v>
      </c>
      <c r="B54" s="17" t="n">
        <v>1</v>
      </c>
      <c r="C54" s="17" t="n">
        <v>0</v>
      </c>
      <c r="D54" s="17" t="n">
        <v>1</v>
      </c>
      <c r="E54" s="5"/>
      <c r="F54" s="23"/>
      <c r="H54" s="5"/>
      <c r="I54" s="13" t="s">
        <v>24</v>
      </c>
      <c r="J54" s="14" t="n">
        <v>3315</v>
      </c>
      <c r="K54" s="16" t="n">
        <v>0</v>
      </c>
      <c r="L54" s="14" t="n">
        <v>8110</v>
      </c>
      <c r="M54" s="16" t="n">
        <v>0</v>
      </c>
      <c r="N54" s="14" t="n">
        <v>11425</v>
      </c>
      <c r="O54" s="14" t="n">
        <v>11425</v>
      </c>
      <c r="P54" s="18" t="n">
        <v>3</v>
      </c>
      <c r="Q54" s="16" t="n">
        <v>0.29</v>
      </c>
      <c r="R54" s="16" t="n">
        <v>0.71</v>
      </c>
    </row>
    <row r="55" customFormat="false" ht="15" hidden="false" customHeight="false" outlineLevel="0" collapsed="false">
      <c r="A55" s="13" t="s">
        <v>33</v>
      </c>
      <c r="B55" s="17" t="n">
        <v>1</v>
      </c>
      <c r="C55" s="17" t="n">
        <v>0</v>
      </c>
      <c r="D55" s="17" t="n">
        <v>1</v>
      </c>
      <c r="E55" s="5"/>
      <c r="F55" s="23"/>
      <c r="H55" s="5"/>
      <c r="I55" s="13" t="s">
        <v>56</v>
      </c>
      <c r="J55" s="14" t="n">
        <v>209351</v>
      </c>
      <c r="K55" s="16" t="n">
        <v>0.015</v>
      </c>
      <c r="L55" s="14" t="n">
        <v>209351</v>
      </c>
      <c r="M55" s="16" t="n">
        <v>0.004</v>
      </c>
      <c r="N55" s="14" t="n">
        <v>418702</v>
      </c>
      <c r="O55" s="14" t="n">
        <v>418702</v>
      </c>
      <c r="P55" s="18" t="n">
        <v>0</v>
      </c>
      <c r="Q55" s="16" t="n">
        <v>0.5</v>
      </c>
      <c r="R55" s="16" t="n">
        <v>0.5</v>
      </c>
    </row>
    <row r="56" customFormat="false" ht="15" hidden="false" customHeight="false" outlineLevel="0" collapsed="false">
      <c r="A56" s="13" t="s">
        <v>34</v>
      </c>
      <c r="B56" s="17" t="n">
        <v>0.4745</v>
      </c>
      <c r="C56" s="17" t="n">
        <v>0.5255</v>
      </c>
      <c r="D56" s="17" t="n">
        <v>1</v>
      </c>
      <c r="E56" s="5"/>
      <c r="F56" s="23"/>
      <c r="H56" s="5"/>
      <c r="I56" s="13" t="s">
        <v>57</v>
      </c>
      <c r="J56" s="14" t="n">
        <v>65434</v>
      </c>
      <c r="K56" s="16" t="n">
        <v>0.005</v>
      </c>
      <c r="L56" s="14" t="n">
        <v>160103</v>
      </c>
      <c r="M56" s="16" t="n">
        <v>0.003</v>
      </c>
      <c r="N56" s="14" t="n">
        <v>225537</v>
      </c>
      <c r="O56" s="14" t="n">
        <v>225537</v>
      </c>
      <c r="P56" s="18" t="n">
        <v>3</v>
      </c>
      <c r="Q56" s="16" t="n">
        <v>0.29</v>
      </c>
      <c r="R56" s="16" t="n">
        <v>0.71</v>
      </c>
    </row>
    <row r="57" customFormat="false" ht="15" hidden="false" customHeight="false" outlineLevel="0" collapsed="false">
      <c r="A57" s="13" t="s">
        <v>35</v>
      </c>
      <c r="B57" s="17" t="n">
        <v>0.4926</v>
      </c>
      <c r="C57" s="17" t="n">
        <v>0.5074</v>
      </c>
      <c r="D57" s="17" t="n">
        <v>1</v>
      </c>
      <c r="E57" s="5"/>
      <c r="F57" s="23"/>
      <c r="H57" s="5"/>
      <c r="I57" s="13" t="s">
        <v>58</v>
      </c>
      <c r="J57" s="14" t="n">
        <v>101800</v>
      </c>
      <c r="K57" s="16" t="n">
        <v>0.008</v>
      </c>
      <c r="L57" s="14" t="n">
        <v>101800</v>
      </c>
      <c r="M57" s="16" t="n">
        <v>0.002</v>
      </c>
      <c r="N57" s="14" t="n">
        <v>203600</v>
      </c>
      <c r="O57" s="14" t="n">
        <v>203600</v>
      </c>
      <c r="P57" s="18" t="n">
        <v>0</v>
      </c>
      <c r="Q57" s="16" t="n">
        <v>0.5</v>
      </c>
      <c r="R57" s="16" t="n">
        <v>0.5</v>
      </c>
    </row>
    <row r="58" customFormat="false" ht="15" hidden="false" customHeight="false" outlineLevel="0" collapsed="false">
      <c r="A58" s="13" t="s">
        <v>36</v>
      </c>
      <c r="B58" s="17" t="n">
        <v>0.2177</v>
      </c>
      <c r="C58" s="17" t="n">
        <v>0.7823</v>
      </c>
      <c r="D58" s="17" t="n">
        <v>1</v>
      </c>
      <c r="E58" s="5"/>
      <c r="F58" s="23"/>
      <c r="H58" s="5"/>
      <c r="I58" s="13" t="s">
        <v>59</v>
      </c>
      <c r="J58" s="14" t="n">
        <v>21643</v>
      </c>
      <c r="K58" s="16" t="n">
        <v>0.002</v>
      </c>
      <c r="L58" s="14" t="n">
        <v>78757</v>
      </c>
      <c r="M58" s="16" t="n">
        <v>0.002</v>
      </c>
      <c r="N58" s="14" t="n">
        <v>100400</v>
      </c>
      <c r="O58" s="14" t="n">
        <v>100400</v>
      </c>
      <c r="P58" s="18" t="n">
        <v>1</v>
      </c>
      <c r="Q58" s="16" t="n">
        <v>0.216</v>
      </c>
      <c r="R58" s="16" t="n">
        <v>0.784</v>
      </c>
    </row>
    <row r="59" customFormat="false" ht="15" hidden="false" customHeight="false" outlineLevel="0" collapsed="false">
      <c r="A59" s="13" t="s">
        <v>39</v>
      </c>
      <c r="B59" s="17" t="n">
        <v>0.1725</v>
      </c>
      <c r="C59" s="17" t="n">
        <v>0.8275</v>
      </c>
      <c r="D59" s="17" t="n">
        <v>1</v>
      </c>
      <c r="E59" s="5"/>
      <c r="F59" s="23"/>
      <c r="H59" s="5"/>
      <c r="I59" s="13" t="s">
        <v>60</v>
      </c>
      <c r="J59" s="14" t="n">
        <v>0</v>
      </c>
      <c r="K59" s="16" t="n">
        <v>0</v>
      </c>
      <c r="L59" s="14" t="n">
        <v>0</v>
      </c>
      <c r="M59" s="16" t="n">
        <v>0</v>
      </c>
      <c r="N59" s="14" t="n">
        <v>0</v>
      </c>
      <c r="O59" s="14" t="n">
        <v>0</v>
      </c>
      <c r="P59" s="18" t="n">
        <v>0</v>
      </c>
      <c r="Q59" s="22" t="s">
        <v>111</v>
      </c>
      <c r="R59" s="22" t="s">
        <v>111</v>
      </c>
    </row>
    <row r="60" customFormat="false" ht="15" hidden="false" customHeight="false" outlineLevel="0" collapsed="false">
      <c r="A60" s="13" t="s">
        <v>112</v>
      </c>
      <c r="B60" s="17" t="n">
        <v>0.89</v>
      </c>
      <c r="C60" s="17" t="n">
        <v>0.11</v>
      </c>
      <c r="D60" s="17" t="n">
        <v>1</v>
      </c>
      <c r="E60" s="5"/>
      <c r="F60" s="23"/>
      <c r="H60" s="5"/>
      <c r="I60" s="13" t="s">
        <v>42</v>
      </c>
      <c r="J60" s="14" t="n">
        <v>2853</v>
      </c>
      <c r="K60" s="16" t="n">
        <v>0</v>
      </c>
      <c r="L60" s="14" t="n">
        <v>6980</v>
      </c>
      <c r="M60" s="16" t="n">
        <v>0</v>
      </c>
      <c r="N60" s="14" t="n">
        <v>9833</v>
      </c>
      <c r="O60" s="14" t="n">
        <v>9833</v>
      </c>
      <c r="P60" s="18" t="n">
        <v>3</v>
      </c>
      <c r="Q60" s="16" t="n">
        <v>0.29</v>
      </c>
      <c r="R60" s="16" t="n">
        <v>0.71</v>
      </c>
    </row>
    <row r="61" customFormat="false" ht="15" hidden="false" customHeight="false" outlineLevel="0" collapsed="false">
      <c r="F61" s="23"/>
      <c r="H61" s="5"/>
      <c r="I61" s="13" t="s">
        <v>44</v>
      </c>
      <c r="J61" s="14" t="n">
        <v>804850</v>
      </c>
      <c r="K61" s="16" t="n">
        <v>0.06</v>
      </c>
      <c r="L61" s="14" t="n">
        <v>804850</v>
      </c>
      <c r="M61" s="16" t="n">
        <v>0.016</v>
      </c>
      <c r="N61" s="14" t="n">
        <v>1609700</v>
      </c>
      <c r="O61" s="14" t="n">
        <v>1609700</v>
      </c>
      <c r="P61" s="18" t="n">
        <v>0</v>
      </c>
      <c r="Q61" s="16" t="n">
        <v>0.5</v>
      </c>
      <c r="R61" s="16" t="n">
        <v>0.5</v>
      </c>
    </row>
    <row r="62" customFormat="false" ht="15" hidden="false" customHeight="false" outlineLevel="0" collapsed="false">
      <c r="A62" s="30" t="s">
        <v>2</v>
      </c>
      <c r="B62" s="30" t="s">
        <v>92</v>
      </c>
      <c r="C62" s="30" t="s">
        <v>93</v>
      </c>
      <c r="D62" s="30" t="s">
        <v>94</v>
      </c>
      <c r="E62" s="30" t="s">
        <v>115</v>
      </c>
      <c r="F62" s="23"/>
      <c r="H62" s="5"/>
      <c r="I62" s="13" t="s">
        <v>61</v>
      </c>
      <c r="J62" s="14" t="n">
        <v>4259</v>
      </c>
      <c r="K62" s="16" t="n">
        <v>0</v>
      </c>
      <c r="L62" s="14" t="n">
        <v>4259</v>
      </c>
      <c r="M62" s="16" t="n">
        <v>0</v>
      </c>
      <c r="N62" s="14" t="n">
        <v>8518</v>
      </c>
      <c r="O62" s="14" t="n">
        <v>8518</v>
      </c>
      <c r="P62" s="18" t="n">
        <v>0</v>
      </c>
      <c r="Q62" s="16" t="n">
        <v>0.5</v>
      </c>
      <c r="R62" s="16" t="n">
        <v>0.5</v>
      </c>
    </row>
    <row r="63" customFormat="false" ht="15" hidden="false" customHeight="false" outlineLevel="0" collapsed="false">
      <c r="A63" s="31" t="s">
        <v>116</v>
      </c>
      <c r="B63" s="32" t="n">
        <v>330816</v>
      </c>
      <c r="C63" s="32" t="n">
        <v>746379</v>
      </c>
      <c r="D63" s="32" t="n">
        <v>624034</v>
      </c>
      <c r="E63" s="33"/>
      <c r="F63" s="23"/>
      <c r="H63" s="5"/>
      <c r="I63" s="13" t="s">
        <v>62</v>
      </c>
      <c r="J63" s="14" t="n">
        <v>80959</v>
      </c>
      <c r="K63" s="16" t="n">
        <v>0.006</v>
      </c>
      <c r="L63" s="14" t="n">
        <v>80959</v>
      </c>
      <c r="M63" s="16" t="n">
        <v>0.002</v>
      </c>
      <c r="N63" s="14" t="n">
        <v>161918</v>
      </c>
      <c r="O63" s="14" t="n">
        <v>161918</v>
      </c>
      <c r="P63" s="18" t="n">
        <v>0</v>
      </c>
      <c r="Q63" s="16" t="n">
        <v>0.5</v>
      </c>
      <c r="R63" s="16" t="n">
        <v>0.5</v>
      </c>
    </row>
    <row r="64" customFormat="false" ht="15" hidden="false" customHeight="false" outlineLevel="0" collapsed="false">
      <c r="A64" s="31" t="s">
        <v>117</v>
      </c>
      <c r="B64" s="34" t="n">
        <v>111.67</v>
      </c>
      <c r="C64" s="34" t="n">
        <v>74.46</v>
      </c>
      <c r="D64" s="34" t="n">
        <v>80.22</v>
      </c>
      <c r="E64" s="33"/>
      <c r="F64" s="23"/>
      <c r="H64" s="5"/>
      <c r="I64" s="13" t="s">
        <v>63</v>
      </c>
      <c r="J64" s="14" t="n">
        <v>25000</v>
      </c>
      <c r="K64" s="16" t="n">
        <v>0.002</v>
      </c>
      <c r="L64" s="14" t="n">
        <v>25000</v>
      </c>
      <c r="M64" s="16" t="n">
        <v>0.001</v>
      </c>
      <c r="N64" s="14" t="n">
        <v>50000</v>
      </c>
      <c r="O64" s="14" t="n">
        <v>50000</v>
      </c>
      <c r="P64" s="18" t="n">
        <v>0</v>
      </c>
      <c r="Q64" s="16" t="n">
        <v>0.5</v>
      </c>
      <c r="R64" s="16" t="n">
        <v>0.5</v>
      </c>
    </row>
    <row r="65" customFormat="false" ht="15" hidden="false" customHeight="false" outlineLevel="0" collapsed="false">
      <c r="A65" s="31" t="s">
        <v>118</v>
      </c>
      <c r="B65" s="34" t="n">
        <v>99.18</v>
      </c>
      <c r="C65" s="34" t="n">
        <v>61.97</v>
      </c>
      <c r="D65" s="5"/>
      <c r="E65" s="33"/>
      <c r="F65" s="23"/>
      <c r="H65" s="5"/>
      <c r="I65" s="13" t="s">
        <v>64</v>
      </c>
      <c r="J65" s="14" t="n">
        <v>62202</v>
      </c>
      <c r="K65" s="16" t="n">
        <v>0.005</v>
      </c>
      <c r="L65" s="14" t="n">
        <v>152198</v>
      </c>
      <c r="M65" s="16" t="n">
        <v>0.003</v>
      </c>
      <c r="N65" s="14" t="n">
        <v>214400</v>
      </c>
      <c r="O65" s="14" t="n">
        <v>214400</v>
      </c>
      <c r="P65" s="18" t="n">
        <v>3</v>
      </c>
      <c r="Q65" s="16" t="n">
        <v>0.29</v>
      </c>
      <c r="R65" s="16" t="n">
        <v>0.71</v>
      </c>
    </row>
    <row r="66" customFormat="false" ht="15" hidden="false" customHeight="false" outlineLevel="0" collapsed="false">
      <c r="A66" s="31" t="s">
        <v>119</v>
      </c>
      <c r="B66" s="32" t="n">
        <v>333497</v>
      </c>
      <c r="C66" s="32" t="n">
        <v>291621</v>
      </c>
      <c r="D66" s="32" t="n">
        <v>303949</v>
      </c>
      <c r="E66" s="33"/>
      <c r="F66" s="23"/>
      <c r="H66" s="5"/>
      <c r="I66" s="13" t="s">
        <v>38</v>
      </c>
      <c r="J66" s="14" t="n">
        <v>34463</v>
      </c>
      <c r="K66" s="16" t="n">
        <v>0.003</v>
      </c>
      <c r="L66" s="14" t="n">
        <v>34463</v>
      </c>
      <c r="M66" s="16" t="n">
        <v>0.001</v>
      </c>
      <c r="N66" s="14" t="n">
        <v>68925</v>
      </c>
      <c r="O66" s="14" t="n">
        <v>68925</v>
      </c>
      <c r="P66" s="18" t="n">
        <v>0</v>
      </c>
      <c r="Q66" s="16" t="n">
        <v>0.5</v>
      </c>
      <c r="R66" s="16" t="n">
        <v>0.5</v>
      </c>
    </row>
    <row r="67" customFormat="false" ht="15" hidden="false" customHeight="false" outlineLevel="0" collapsed="false">
      <c r="A67" s="31" t="s">
        <v>120</v>
      </c>
      <c r="B67" s="32" t="n">
        <v>433743</v>
      </c>
      <c r="C67" s="32" t="n">
        <v>395823</v>
      </c>
      <c r="D67" s="32" t="n">
        <v>406987</v>
      </c>
      <c r="E67" s="33"/>
      <c r="F67" s="23"/>
      <c r="H67" s="5"/>
      <c r="I67" s="13" t="s">
        <v>65</v>
      </c>
      <c r="J67" s="14" t="n">
        <v>7500</v>
      </c>
      <c r="K67" s="16" t="n">
        <v>0.001</v>
      </c>
      <c r="L67" s="14" t="n">
        <v>7500</v>
      </c>
      <c r="M67" s="16" t="n">
        <v>0</v>
      </c>
      <c r="N67" s="14" t="n">
        <v>15000</v>
      </c>
      <c r="O67" s="14" t="n">
        <v>15000</v>
      </c>
      <c r="P67" s="18" t="n">
        <v>0</v>
      </c>
      <c r="Q67" s="16" t="n">
        <v>0.5</v>
      </c>
      <c r="R67" s="16" t="n">
        <v>0.5</v>
      </c>
    </row>
    <row r="68" customFormat="false" ht="15" hidden="false" customHeight="false" outlineLevel="0" collapsed="false">
      <c r="A68" s="13" t="s">
        <v>121</v>
      </c>
      <c r="B68" s="14" t="n">
        <v>33029916</v>
      </c>
      <c r="C68" s="14" t="n">
        <v>43694119</v>
      </c>
      <c r="D68" s="14" t="n">
        <v>70938513</v>
      </c>
      <c r="E68" s="33"/>
      <c r="F68" s="23"/>
      <c r="H68" s="5"/>
      <c r="I68" s="13" t="s">
        <v>66</v>
      </c>
      <c r="J68" s="14" t="n">
        <v>6365</v>
      </c>
      <c r="K68" s="16" t="n">
        <v>0</v>
      </c>
      <c r="L68" s="14" t="n">
        <v>15575</v>
      </c>
      <c r="M68" s="16" t="n">
        <v>0</v>
      </c>
      <c r="N68" s="14" t="n">
        <v>21940</v>
      </c>
      <c r="O68" s="14" t="n">
        <v>21940</v>
      </c>
      <c r="P68" s="18" t="n">
        <v>3</v>
      </c>
      <c r="Q68" s="16" t="n">
        <v>0.29</v>
      </c>
      <c r="R68" s="16" t="n">
        <v>0.71</v>
      </c>
    </row>
    <row r="69" customFormat="false" ht="15" hidden="false" customHeight="false" outlineLevel="0" collapsed="false">
      <c r="A69" s="13" t="s">
        <v>122</v>
      </c>
      <c r="B69" s="14" t="n">
        <v>13519089</v>
      </c>
      <c r="C69" s="14" t="n">
        <v>49431643</v>
      </c>
      <c r="D69" s="14" t="n">
        <v>62950732</v>
      </c>
      <c r="E69" s="33"/>
      <c r="F69" s="23"/>
      <c r="H69" s="5"/>
      <c r="I69" s="13" t="s">
        <v>67</v>
      </c>
      <c r="J69" s="14" t="n">
        <v>6072</v>
      </c>
      <c r="K69" s="16" t="n">
        <v>0</v>
      </c>
      <c r="L69" s="14" t="n">
        <v>15228</v>
      </c>
      <c r="M69" s="16" t="n">
        <v>0</v>
      </c>
      <c r="N69" s="14" t="n">
        <v>21300</v>
      </c>
      <c r="O69" s="14" t="n">
        <v>21300</v>
      </c>
      <c r="P69" s="18" t="n">
        <v>2</v>
      </c>
      <c r="Q69" s="16" t="n">
        <v>0.285</v>
      </c>
      <c r="R69" s="16" t="n">
        <v>0.715</v>
      </c>
    </row>
    <row r="70" customFormat="false" ht="15" hidden="false" customHeight="false" outlineLevel="0" collapsed="false">
      <c r="A70" s="13" t="s">
        <v>123</v>
      </c>
      <c r="B70" s="35" t="n">
        <v>-1.4432</v>
      </c>
      <c r="C70" s="17" t="n">
        <v>0.1161</v>
      </c>
      <c r="D70" s="35" t="n">
        <v>-0.1269</v>
      </c>
      <c r="E70" s="33" t="s">
        <v>124</v>
      </c>
      <c r="F70" s="23"/>
      <c r="H70" s="5"/>
      <c r="I70" s="13" t="s">
        <v>45</v>
      </c>
      <c r="J70" s="14" t="n">
        <v>0</v>
      </c>
      <c r="K70" s="16" t="n">
        <v>0</v>
      </c>
      <c r="L70" s="14" t="n">
        <v>0</v>
      </c>
      <c r="M70" s="16" t="n">
        <v>0</v>
      </c>
      <c r="N70" s="14" t="n">
        <v>0</v>
      </c>
      <c r="O70" s="14" t="n">
        <v>0</v>
      </c>
      <c r="P70" s="18" t="n">
        <v>3</v>
      </c>
      <c r="Q70" s="22" t="s">
        <v>111</v>
      </c>
      <c r="R70" s="22" t="s">
        <v>111</v>
      </c>
    </row>
    <row r="71" customFormat="false" ht="15" hidden="false" customHeight="false" outlineLevel="0" collapsed="false">
      <c r="A71" s="13" t="s">
        <v>125</v>
      </c>
      <c r="B71" s="17" t="n">
        <v>1.3111</v>
      </c>
      <c r="C71" s="17" t="n">
        <v>0.5303</v>
      </c>
      <c r="D71" s="17" t="n">
        <v>0.6522</v>
      </c>
      <c r="E71" s="33" t="s">
        <v>126</v>
      </c>
      <c r="F71" s="23"/>
      <c r="H71" s="5"/>
      <c r="I71" s="13" t="s">
        <v>68</v>
      </c>
      <c r="J71" s="14" t="n">
        <v>0</v>
      </c>
      <c r="K71" s="16" t="n">
        <v>0</v>
      </c>
      <c r="L71" s="14" t="n">
        <v>0</v>
      </c>
      <c r="M71" s="16" t="n">
        <v>0</v>
      </c>
      <c r="N71" s="14" t="n">
        <v>0</v>
      </c>
      <c r="O71" s="14" t="n">
        <v>0</v>
      </c>
      <c r="P71" s="18" t="n">
        <v>3</v>
      </c>
      <c r="Q71" s="22" t="s">
        <v>111</v>
      </c>
      <c r="R71" s="22" t="s">
        <v>111</v>
      </c>
    </row>
    <row r="72" customFormat="false" ht="15" hidden="false" customHeight="false" outlineLevel="0" collapsed="false">
      <c r="A72" s="31" t="s">
        <v>127</v>
      </c>
      <c r="B72" s="17" t="n">
        <v>0.3307</v>
      </c>
      <c r="C72" s="17" t="n">
        <v>0.8531</v>
      </c>
      <c r="D72" s="17" t="n">
        <v>0.6844</v>
      </c>
      <c r="E72" s="36" t="s">
        <v>128</v>
      </c>
      <c r="F72" s="23"/>
      <c r="H72" s="5"/>
      <c r="I72" s="13" t="s">
        <v>69</v>
      </c>
      <c r="J72" s="14" t="n">
        <v>70000</v>
      </c>
      <c r="K72" s="16" t="n">
        <v>0.005</v>
      </c>
      <c r="L72" s="14" t="n">
        <v>70000</v>
      </c>
      <c r="M72" s="16" t="n">
        <v>0.001</v>
      </c>
      <c r="N72" s="14" t="n">
        <v>140000</v>
      </c>
      <c r="O72" s="14" t="n">
        <v>140000</v>
      </c>
      <c r="P72" s="18" t="n">
        <v>0</v>
      </c>
      <c r="Q72" s="16" t="n">
        <v>0.5</v>
      </c>
      <c r="R72" s="16" t="n">
        <v>0.5</v>
      </c>
    </row>
    <row r="73" customFormat="false" ht="15" hidden="false" customHeight="false" outlineLevel="0" collapsed="false">
      <c r="A73" s="13" t="s">
        <v>129</v>
      </c>
      <c r="B73" s="17" t="n">
        <v>2.4432</v>
      </c>
      <c r="C73" s="17" t="n">
        <v>0.8839</v>
      </c>
      <c r="D73" s="17" t="n">
        <v>1.1269</v>
      </c>
      <c r="E73" s="33" t="s">
        <v>130</v>
      </c>
      <c r="F73" s="23"/>
      <c r="H73" s="5"/>
      <c r="I73" s="13" t="s">
        <v>70</v>
      </c>
      <c r="J73" s="14" t="n">
        <v>0</v>
      </c>
      <c r="K73" s="16" t="n">
        <v>0</v>
      </c>
      <c r="L73" s="14" t="n">
        <v>0</v>
      </c>
      <c r="M73" s="16" t="n">
        <v>0</v>
      </c>
      <c r="N73" s="14" t="n">
        <v>0</v>
      </c>
      <c r="O73" s="14" t="n">
        <v>0</v>
      </c>
      <c r="P73" s="18" t="n">
        <v>0</v>
      </c>
      <c r="Q73" s="22" t="s">
        <v>111</v>
      </c>
      <c r="R73" s="22" t="s">
        <v>111</v>
      </c>
    </row>
    <row r="74" customFormat="false" ht="15" hidden="false" customHeight="false" outlineLevel="0" collapsed="false">
      <c r="A74" s="13" t="s">
        <v>131</v>
      </c>
      <c r="B74" s="14" t="n">
        <v>295788</v>
      </c>
      <c r="C74" s="14" t="n">
        <v>586825</v>
      </c>
      <c r="D74" s="14" t="n">
        <v>884290</v>
      </c>
      <c r="E74" s="36" t="s">
        <v>132</v>
      </c>
      <c r="F74" s="23"/>
      <c r="H74" s="5"/>
      <c r="I74" s="13" t="s">
        <v>40</v>
      </c>
      <c r="J74" s="14" t="n">
        <v>0</v>
      </c>
      <c r="K74" s="16" t="n">
        <v>0</v>
      </c>
      <c r="L74" s="14" t="n">
        <v>0</v>
      </c>
      <c r="M74" s="16" t="n">
        <v>0</v>
      </c>
      <c r="N74" s="14" t="n">
        <v>0</v>
      </c>
      <c r="O74" s="14" t="n">
        <v>0</v>
      </c>
      <c r="P74" s="18" t="n">
        <v>3</v>
      </c>
      <c r="Q74" s="22" t="s">
        <v>111</v>
      </c>
      <c r="R74" s="22" t="s">
        <v>111</v>
      </c>
    </row>
    <row r="75" customFormat="false" ht="15" hidden="false" customHeight="false" outlineLevel="0" collapsed="false">
      <c r="A75" s="13" t="s">
        <v>133</v>
      </c>
      <c r="B75" s="35" t="n">
        <v>-0.6669</v>
      </c>
      <c r="C75" s="17" t="n">
        <v>0.0818</v>
      </c>
      <c r="D75" s="35" t="n">
        <v>-0.079</v>
      </c>
      <c r="E75" s="36" t="s">
        <v>134</v>
      </c>
      <c r="F75" s="23"/>
      <c r="H75" s="5"/>
      <c r="I75" s="13" t="s">
        <v>48</v>
      </c>
      <c r="J75" s="14" t="n">
        <v>138150</v>
      </c>
      <c r="K75" s="16" t="n">
        <v>0.01</v>
      </c>
      <c r="L75" s="14" t="n">
        <v>138150</v>
      </c>
      <c r="M75" s="16" t="n">
        <v>0.003</v>
      </c>
      <c r="N75" s="14" t="n">
        <v>276300</v>
      </c>
      <c r="O75" s="14" t="n">
        <v>276300</v>
      </c>
      <c r="P75" s="18" t="n">
        <v>0</v>
      </c>
      <c r="Q75" s="16" t="n">
        <v>0.5</v>
      </c>
      <c r="R75" s="16" t="n">
        <v>0.5</v>
      </c>
    </row>
    <row r="76" customFormat="false" ht="15" hidden="false" customHeight="false" outlineLevel="0" collapsed="false">
      <c r="F76" s="23"/>
      <c r="H76" s="5"/>
      <c r="I76" s="13" t="s">
        <v>71</v>
      </c>
      <c r="J76" s="14" t="n">
        <v>198500</v>
      </c>
      <c r="K76" s="16" t="n">
        <v>0.015</v>
      </c>
      <c r="L76" s="14" t="n">
        <v>198500</v>
      </c>
      <c r="M76" s="16" t="n">
        <v>0.004</v>
      </c>
      <c r="N76" s="14" t="n">
        <v>397000</v>
      </c>
      <c r="O76" s="14" t="n">
        <v>397000</v>
      </c>
      <c r="P76" s="18" t="n">
        <v>0</v>
      </c>
      <c r="Q76" s="16" t="n">
        <v>0.5</v>
      </c>
      <c r="R76" s="16" t="n">
        <v>0.5</v>
      </c>
    </row>
    <row r="77" customFormat="false" ht="15" hidden="false" customHeight="false" outlineLevel="0" collapsed="false">
      <c r="F77" s="23"/>
      <c r="H77" s="5"/>
      <c r="I77" s="31"/>
      <c r="J77" s="14" t="n">
        <v>0</v>
      </c>
      <c r="K77" s="16" t="n">
        <v>0</v>
      </c>
      <c r="L77" s="14" t="n">
        <v>0</v>
      </c>
      <c r="M77" s="16" t="n">
        <v>0</v>
      </c>
      <c r="N77" s="14" t="n">
        <v>0</v>
      </c>
      <c r="O77" s="14" t="n">
        <v>0</v>
      </c>
      <c r="P77" s="18" t="n">
        <v>0</v>
      </c>
      <c r="Q77" s="22" t="s">
        <v>111</v>
      </c>
      <c r="R77" s="22" t="s">
        <v>111</v>
      </c>
    </row>
    <row r="78" customFormat="false" ht="15" hidden="false" customHeight="false" outlineLevel="0" collapsed="false">
      <c r="F78" s="23"/>
      <c r="H78" s="21" t="s">
        <v>27</v>
      </c>
      <c r="I78" s="9" t="s">
        <v>72</v>
      </c>
      <c r="J78" s="11" t="n">
        <v>5058175</v>
      </c>
      <c r="K78" s="19" t="n">
        <v>0.374</v>
      </c>
      <c r="L78" s="11" t="n">
        <v>7841697</v>
      </c>
      <c r="M78" s="19" t="n">
        <v>0.159</v>
      </c>
      <c r="N78" s="11" t="n">
        <v>12899872</v>
      </c>
      <c r="O78" s="11" t="n">
        <v>12899872</v>
      </c>
      <c r="P78" s="20"/>
      <c r="Q78" s="19" t="n">
        <v>0.392</v>
      </c>
      <c r="R78" s="19" t="n">
        <v>0.608</v>
      </c>
    </row>
    <row r="79" customFormat="false" ht="15" hidden="false" customHeight="false" outlineLevel="0" collapsed="false">
      <c r="F79" s="23"/>
      <c r="H79" s="21"/>
      <c r="I79" s="9" t="s">
        <v>73</v>
      </c>
      <c r="J79" s="28" t="n">
        <v>-8543926</v>
      </c>
      <c r="K79" s="29" t="n">
        <v>-0.632</v>
      </c>
      <c r="L79" s="11" t="n">
        <v>5760462</v>
      </c>
      <c r="M79" s="19" t="n">
        <v>0.117</v>
      </c>
      <c r="N79" s="28" t="n">
        <v>-2783464</v>
      </c>
      <c r="O79" s="11" t="n">
        <v>4808779</v>
      </c>
      <c r="P79" s="20"/>
      <c r="Q79" s="19" t="n">
        <v>3.07</v>
      </c>
      <c r="R79" s="29" t="n">
        <v>-2.07</v>
      </c>
    </row>
    <row r="80" customFormat="false" ht="15" hidden="false" customHeight="false" outlineLevel="0" collapsed="false">
      <c r="F80" s="23"/>
      <c r="H80" s="5"/>
      <c r="I80" s="13" t="s">
        <v>74</v>
      </c>
      <c r="J80" s="14" t="n">
        <v>0</v>
      </c>
      <c r="K80" s="16" t="n">
        <v>0</v>
      </c>
      <c r="L80" s="14" t="n">
        <v>0</v>
      </c>
      <c r="M80" s="16" t="n">
        <v>0</v>
      </c>
      <c r="N80" s="14" t="n">
        <v>0</v>
      </c>
      <c r="O80" s="14" t="n">
        <v>0</v>
      </c>
      <c r="P80" s="18" t="n">
        <v>1</v>
      </c>
      <c r="Q80" s="22" t="s">
        <v>111</v>
      </c>
      <c r="R80" s="22" t="s">
        <v>111</v>
      </c>
    </row>
    <row r="81" customFormat="false" ht="15" hidden="false" customHeight="false" outlineLevel="0" collapsed="false">
      <c r="F81" s="23"/>
      <c r="H81" s="5"/>
      <c r="I81" s="13" t="s">
        <v>75</v>
      </c>
      <c r="J81" s="14" t="n">
        <v>6823</v>
      </c>
      <c r="K81" s="16" t="n">
        <v>0.001</v>
      </c>
      <c r="L81" s="14" t="n">
        <v>24827</v>
      </c>
      <c r="M81" s="16" t="n">
        <v>0.001</v>
      </c>
      <c r="N81" s="14" t="n">
        <v>31650</v>
      </c>
      <c r="O81" s="14" t="n">
        <v>31650</v>
      </c>
      <c r="P81" s="18" t="n">
        <v>1</v>
      </c>
      <c r="Q81" s="16" t="n">
        <v>0.216</v>
      </c>
      <c r="R81" s="16" t="n">
        <v>0.784</v>
      </c>
    </row>
    <row r="82" customFormat="false" ht="15" hidden="false" customHeight="false" outlineLevel="0" collapsed="false">
      <c r="F82" s="23"/>
      <c r="H82" s="5"/>
      <c r="I82" s="13" t="s">
        <v>76</v>
      </c>
      <c r="J82" s="14" t="n">
        <v>19402</v>
      </c>
      <c r="K82" s="16" t="n">
        <v>0.001</v>
      </c>
      <c r="L82" s="14" t="n">
        <v>70598</v>
      </c>
      <c r="M82" s="16" t="n">
        <v>0.001</v>
      </c>
      <c r="N82" s="14" t="n">
        <v>90000</v>
      </c>
      <c r="O82" s="14" t="n">
        <v>90000</v>
      </c>
      <c r="P82" s="18" t="n">
        <v>1</v>
      </c>
      <c r="Q82" s="16" t="n">
        <v>0.216</v>
      </c>
      <c r="R82" s="16" t="n">
        <v>0.784</v>
      </c>
    </row>
    <row r="83" customFormat="false" ht="15" hidden="false" customHeight="false" outlineLevel="0" collapsed="false">
      <c r="F83" s="23"/>
      <c r="H83" s="5"/>
      <c r="I83" s="13" t="s">
        <v>77</v>
      </c>
      <c r="J83" s="14" t="n">
        <v>1356</v>
      </c>
      <c r="K83" s="16" t="n">
        <v>0</v>
      </c>
      <c r="L83" s="14" t="n">
        <v>4936</v>
      </c>
      <c r="M83" s="16" t="n">
        <v>0</v>
      </c>
      <c r="N83" s="14" t="n">
        <v>6292</v>
      </c>
      <c r="O83" s="14" t="n">
        <v>6292</v>
      </c>
      <c r="P83" s="18" t="n">
        <v>1</v>
      </c>
      <c r="Q83" s="16" t="n">
        <v>0.216</v>
      </c>
      <c r="R83" s="16" t="n">
        <v>0.784</v>
      </c>
    </row>
    <row r="84" customFormat="false" ht="15" hidden="false" customHeight="false" outlineLevel="0" collapsed="false">
      <c r="F84" s="23"/>
      <c r="H84" s="5"/>
      <c r="I84" s="31"/>
      <c r="J84" s="14" t="n">
        <v>0</v>
      </c>
      <c r="K84" s="16" t="n">
        <v>0</v>
      </c>
      <c r="L84" s="14" t="n">
        <v>0</v>
      </c>
      <c r="M84" s="16" t="n">
        <v>0</v>
      </c>
      <c r="N84" s="14" t="n">
        <v>0</v>
      </c>
      <c r="O84" s="14" t="n">
        <v>0</v>
      </c>
      <c r="P84" s="18" t="n">
        <v>1</v>
      </c>
      <c r="Q84" s="22" t="s">
        <v>111</v>
      </c>
      <c r="R84" s="22" t="s">
        <v>111</v>
      </c>
    </row>
    <row r="85" customFormat="false" ht="15" hidden="false" customHeight="false" outlineLevel="0" collapsed="false">
      <c r="F85" s="23"/>
      <c r="H85" s="21"/>
      <c r="I85" s="9" t="s">
        <v>78</v>
      </c>
      <c r="J85" s="11" t="n">
        <v>27581</v>
      </c>
      <c r="K85" s="19" t="n">
        <v>0.002</v>
      </c>
      <c r="L85" s="11" t="n">
        <v>100361</v>
      </c>
      <c r="M85" s="19" t="n">
        <v>0.002</v>
      </c>
      <c r="N85" s="11" t="n">
        <v>127942</v>
      </c>
      <c r="O85" s="11" t="n">
        <v>127942</v>
      </c>
      <c r="P85" s="20"/>
      <c r="Q85" s="19" t="n">
        <v>0.216</v>
      </c>
      <c r="R85" s="19" t="n">
        <v>0.784</v>
      </c>
    </row>
    <row r="86" customFormat="false" ht="15" hidden="false" customHeight="false" outlineLevel="0" collapsed="false">
      <c r="F86" s="23"/>
      <c r="H86" s="5"/>
      <c r="I86" s="13" t="s">
        <v>79</v>
      </c>
      <c r="J86" s="14" t="n">
        <v>496627</v>
      </c>
      <c r="K86" s="16" t="n">
        <v>0.037</v>
      </c>
      <c r="L86" s="14" t="n">
        <v>1807131</v>
      </c>
      <c r="M86" s="16" t="n">
        <v>0.037</v>
      </c>
      <c r="N86" s="14" t="n">
        <v>2303758</v>
      </c>
      <c r="O86" s="14" t="n">
        <v>2303758</v>
      </c>
      <c r="P86" s="18" t="n">
        <v>1</v>
      </c>
      <c r="Q86" s="16" t="n">
        <v>0.216</v>
      </c>
      <c r="R86" s="16" t="n">
        <v>0.784</v>
      </c>
    </row>
    <row r="87" customFormat="false" ht="15" hidden="false" customHeight="false" outlineLevel="0" collapsed="false">
      <c r="F87" s="23"/>
      <c r="H87" s="5"/>
      <c r="I87" s="13" t="s">
        <v>80</v>
      </c>
      <c r="J87" s="14" t="n">
        <v>3457</v>
      </c>
      <c r="K87" s="16" t="n">
        <v>0</v>
      </c>
      <c r="L87" s="14" t="n">
        <v>12580</v>
      </c>
      <c r="M87" s="16" t="n">
        <v>0</v>
      </c>
      <c r="N87" s="14" t="n">
        <v>16037</v>
      </c>
      <c r="O87" s="14" t="n">
        <v>16037</v>
      </c>
      <c r="P87" s="18" t="n">
        <v>1</v>
      </c>
      <c r="Q87" s="16" t="n">
        <v>0.216</v>
      </c>
      <c r="R87" s="16" t="n">
        <v>0.784</v>
      </c>
    </row>
    <row r="88" customFormat="false" ht="15" hidden="false" customHeight="false" outlineLevel="0" collapsed="false">
      <c r="F88" s="23"/>
      <c r="H88" s="5"/>
      <c r="I88" s="13" t="s">
        <v>62</v>
      </c>
      <c r="J88" s="14" t="n">
        <v>0</v>
      </c>
      <c r="K88" s="16" t="n">
        <v>0</v>
      </c>
      <c r="L88" s="14" t="n">
        <v>0</v>
      </c>
      <c r="M88" s="16" t="n">
        <v>0</v>
      </c>
      <c r="N88" s="14" t="n">
        <v>0</v>
      </c>
      <c r="O88" s="14" t="n">
        <v>0</v>
      </c>
      <c r="P88" s="18" t="n">
        <v>1</v>
      </c>
      <c r="Q88" s="22" t="s">
        <v>111</v>
      </c>
      <c r="R88" s="22" t="s">
        <v>111</v>
      </c>
    </row>
    <row r="89" customFormat="false" ht="15" hidden="false" customHeight="false" outlineLevel="0" collapsed="false">
      <c r="F89" s="23"/>
      <c r="H89" s="5"/>
      <c r="I89" s="13" t="s">
        <v>81</v>
      </c>
      <c r="J89" s="14" t="n">
        <v>0</v>
      </c>
      <c r="K89" s="16" t="n">
        <v>0</v>
      </c>
      <c r="L89" s="14" t="n">
        <v>0</v>
      </c>
      <c r="M89" s="16" t="n">
        <v>0</v>
      </c>
      <c r="N89" s="14" t="n">
        <v>0</v>
      </c>
      <c r="O89" s="14" t="n">
        <v>0</v>
      </c>
      <c r="P89" s="18" t="n">
        <v>1</v>
      </c>
      <c r="Q89" s="22" t="s">
        <v>111</v>
      </c>
      <c r="R89" s="22" t="s">
        <v>111</v>
      </c>
    </row>
    <row r="90" customFormat="false" ht="15" hidden="false" customHeight="false" outlineLevel="0" collapsed="false">
      <c r="F90" s="23"/>
      <c r="H90" s="21" t="s">
        <v>27</v>
      </c>
      <c r="I90" s="9" t="s">
        <v>82</v>
      </c>
      <c r="J90" s="11" t="n">
        <v>500084</v>
      </c>
      <c r="K90" s="19" t="n">
        <v>0.037</v>
      </c>
      <c r="L90" s="11" t="n">
        <v>1819711</v>
      </c>
      <c r="M90" s="19" t="n">
        <v>0.037</v>
      </c>
      <c r="N90" s="11" t="n">
        <v>2319795</v>
      </c>
      <c r="O90" s="11" t="n">
        <v>2319795</v>
      </c>
      <c r="P90" s="20"/>
      <c r="Q90" s="19" t="n">
        <v>0.216</v>
      </c>
      <c r="R90" s="19" t="n">
        <v>0.784</v>
      </c>
    </row>
    <row r="91" customFormat="false" ht="15" hidden="false" customHeight="false" outlineLevel="0" collapsed="false">
      <c r="F91" s="23"/>
      <c r="H91" s="21"/>
      <c r="I91" s="9" t="s">
        <v>83</v>
      </c>
      <c r="J91" s="28" t="n">
        <v>-9016429</v>
      </c>
      <c r="K91" s="29" t="n">
        <v>-0.667</v>
      </c>
      <c r="L91" s="11" t="n">
        <v>4041113</v>
      </c>
      <c r="M91" s="19" t="n">
        <v>0.082</v>
      </c>
      <c r="N91" s="28" t="n">
        <v>-4975317</v>
      </c>
      <c r="O91" s="11" t="n">
        <v>2616926</v>
      </c>
      <c r="P91" s="20"/>
      <c r="Q91" s="19" t="n">
        <v>1.812</v>
      </c>
      <c r="R91" s="29" t="n">
        <v>-0.812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  <col collapsed="false" customWidth="true" hidden="false" outlineLevel="0" max="6" min="6" style="0" width="6"/>
    <col collapsed="false" customWidth="true" hidden="false" outlineLevel="0" max="7" min="7" style="0" width="3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5" min="14" style="0" width="13"/>
    <col collapsed="false" customWidth="true" hidden="false" outlineLevel="0" max="16" min="16" style="0" width="6"/>
    <col collapsed="false" customWidth="true" hidden="false" outlineLevel="0" max="18" min="17" style="0" width="9"/>
  </cols>
  <sheetData>
    <row r="1" customFormat="false" ht="19.4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2" t="s">
        <v>91</v>
      </c>
      <c r="B4" s="12" t="s">
        <v>92</v>
      </c>
      <c r="C4" s="12" t="s">
        <v>93</v>
      </c>
      <c r="D4" s="12" t="s">
        <v>94</v>
      </c>
      <c r="E4" s="12" t="s">
        <v>95</v>
      </c>
      <c r="F4" s="12" t="s">
        <v>96</v>
      </c>
      <c r="H4" s="12"/>
      <c r="I4" s="12" t="s">
        <v>2</v>
      </c>
      <c r="J4" s="12" t="s">
        <v>92</v>
      </c>
      <c r="K4" s="12" t="s">
        <v>97</v>
      </c>
      <c r="L4" s="12" t="s">
        <v>93</v>
      </c>
      <c r="M4" s="12" t="s">
        <v>97</v>
      </c>
      <c r="N4" s="12" t="s">
        <v>98</v>
      </c>
      <c r="O4" s="12" t="s">
        <v>95</v>
      </c>
      <c r="P4" s="12" t="s">
        <v>96</v>
      </c>
      <c r="Q4" s="12" t="s">
        <v>99</v>
      </c>
      <c r="R4" s="12" t="s">
        <v>100</v>
      </c>
    </row>
    <row r="5" customFormat="false" ht="15" hidden="false" customHeight="false" outlineLevel="0" collapsed="false">
      <c r="A5" s="13" t="s">
        <v>101</v>
      </c>
      <c r="B5" s="14" t="n">
        <v>19679972</v>
      </c>
      <c r="C5" s="14" t="n">
        <v>22517648</v>
      </c>
      <c r="D5" s="14" t="n">
        <v>8549245</v>
      </c>
      <c r="E5" s="14" t="n">
        <v>50746865</v>
      </c>
      <c r="F5" s="15"/>
      <c r="H5" s="5"/>
      <c r="I5" s="13" t="s">
        <v>9</v>
      </c>
      <c r="J5" s="14" t="n">
        <v>22474506</v>
      </c>
      <c r="K5" s="16" t="n">
        <v>0.992</v>
      </c>
      <c r="L5" s="14" t="n">
        <v>28272359</v>
      </c>
      <c r="M5" s="16" t="n">
        <v>0.984</v>
      </c>
      <c r="N5" s="14" t="n">
        <v>50746865</v>
      </c>
      <c r="O5" s="14" t="n">
        <v>50746865</v>
      </c>
      <c r="P5" s="15" t="s">
        <v>102</v>
      </c>
      <c r="Q5" s="16" t="n">
        <v>0.443</v>
      </c>
      <c r="R5" s="16" t="n">
        <v>0.557</v>
      </c>
    </row>
    <row r="6" customFormat="false" ht="15" hidden="false" customHeight="false" outlineLevel="0" collapsed="false">
      <c r="A6" s="13" t="s">
        <v>103</v>
      </c>
      <c r="B6" s="17" t="n">
        <v>0.3878</v>
      </c>
      <c r="C6" s="17" t="n">
        <v>0.4437</v>
      </c>
      <c r="D6" s="17" t="n">
        <v>0.1685</v>
      </c>
      <c r="E6" s="17" t="n">
        <v>1</v>
      </c>
      <c r="F6" s="18" t="n">
        <v>1</v>
      </c>
      <c r="H6" s="5"/>
      <c r="I6" s="13" t="s">
        <v>10</v>
      </c>
      <c r="J6" s="14" t="n">
        <v>222223</v>
      </c>
      <c r="K6" s="16" t="n">
        <v>0.01</v>
      </c>
      <c r="L6" s="14" t="n">
        <v>457617</v>
      </c>
      <c r="M6" s="16" t="n">
        <v>0.016</v>
      </c>
      <c r="N6" s="14" t="n">
        <v>679840</v>
      </c>
      <c r="O6" s="14" t="n">
        <v>679840</v>
      </c>
      <c r="P6" s="18" t="n">
        <v>4</v>
      </c>
      <c r="Q6" s="16" t="n">
        <v>0.327</v>
      </c>
      <c r="R6" s="16" t="n">
        <v>0.673</v>
      </c>
    </row>
    <row r="7" customFormat="false" ht="15" hidden="false" customHeight="false" outlineLevel="0" collapsed="false">
      <c r="A7" s="13" t="s">
        <v>104</v>
      </c>
      <c r="B7" s="14" t="n">
        <v>12</v>
      </c>
      <c r="C7" s="14" t="n">
        <v>10</v>
      </c>
      <c r="D7" s="14" t="n">
        <v>44</v>
      </c>
      <c r="E7" s="14" t="n">
        <v>66</v>
      </c>
      <c r="F7" s="15"/>
      <c r="H7" s="5"/>
      <c r="I7" s="13" t="s">
        <v>11</v>
      </c>
      <c r="J7" s="14" t="n">
        <v>30144</v>
      </c>
      <c r="K7" s="16" t="n">
        <v>0.001</v>
      </c>
      <c r="L7" s="14" t="n">
        <v>1986</v>
      </c>
      <c r="M7" s="16" t="n">
        <v>0</v>
      </c>
      <c r="N7" s="14" t="n">
        <v>32130</v>
      </c>
      <c r="O7" s="14" t="n">
        <v>32130</v>
      </c>
      <c r="P7" s="15" t="s">
        <v>102</v>
      </c>
      <c r="Q7" s="16" t="n">
        <v>0.938</v>
      </c>
      <c r="R7" s="16" t="n">
        <v>0.062</v>
      </c>
    </row>
    <row r="8" customFormat="false" ht="15" hidden="false" customHeight="false" outlineLevel="0" collapsed="false">
      <c r="A8" s="13" t="s">
        <v>105</v>
      </c>
      <c r="B8" s="17" t="n">
        <v>0.1818</v>
      </c>
      <c r="C8" s="17" t="n">
        <v>0.1515</v>
      </c>
      <c r="D8" s="17" t="n">
        <v>0.6667</v>
      </c>
      <c r="E8" s="17" t="n">
        <v>1</v>
      </c>
      <c r="F8" s="18" t="n">
        <v>2</v>
      </c>
      <c r="H8" s="21"/>
      <c r="I8" s="9" t="s">
        <v>12</v>
      </c>
      <c r="J8" s="11" t="n">
        <v>22666584</v>
      </c>
      <c r="K8" s="19" t="n">
        <v>1</v>
      </c>
      <c r="L8" s="11" t="n">
        <v>28727991</v>
      </c>
      <c r="M8" s="19" t="n">
        <v>1</v>
      </c>
      <c r="N8" s="11" t="n">
        <v>51394575</v>
      </c>
      <c r="O8" s="11" t="n">
        <v>51394575</v>
      </c>
      <c r="P8" s="20"/>
      <c r="Q8" s="19" t="n">
        <v>0.441</v>
      </c>
      <c r="R8" s="19" t="n">
        <v>0.559</v>
      </c>
    </row>
    <row r="9" customFormat="false" ht="15" hidden="false" customHeight="false" outlineLevel="0" collapsed="false">
      <c r="A9" s="13" t="s">
        <v>106</v>
      </c>
      <c r="B9" s="14" t="n">
        <v>45</v>
      </c>
      <c r="C9" s="14" t="n">
        <v>97</v>
      </c>
      <c r="D9" s="14" t="n">
        <v>0</v>
      </c>
      <c r="E9" s="14" t="n">
        <v>142</v>
      </c>
      <c r="F9" s="15"/>
      <c r="H9" s="5"/>
      <c r="I9" s="13" t="s">
        <v>13</v>
      </c>
      <c r="J9" s="14" t="n">
        <v>26</v>
      </c>
      <c r="K9" s="5"/>
      <c r="L9" s="14" t="n">
        <v>40</v>
      </c>
      <c r="M9" s="5"/>
      <c r="N9" s="14" t="n">
        <v>66</v>
      </c>
      <c r="O9" s="14" t="n">
        <v>66</v>
      </c>
      <c r="P9" s="15"/>
      <c r="Q9" s="16" t="n">
        <v>0.4</v>
      </c>
      <c r="R9" s="16" t="n">
        <v>0.6</v>
      </c>
    </row>
    <row r="10" customFormat="false" ht="15" hidden="false" customHeight="false" outlineLevel="0" collapsed="false">
      <c r="A10" s="13" t="s">
        <v>107</v>
      </c>
      <c r="B10" s="17" t="n">
        <v>0.3169</v>
      </c>
      <c r="C10" s="17" t="n">
        <v>0.6831</v>
      </c>
      <c r="D10" s="17" t="n">
        <v>0</v>
      </c>
      <c r="E10" s="17" t="n">
        <v>1</v>
      </c>
      <c r="F10" s="18" t="n">
        <v>3</v>
      </c>
      <c r="H10" s="5"/>
      <c r="I10" s="13" t="s">
        <v>14</v>
      </c>
      <c r="J10" s="14" t="n">
        <v>45</v>
      </c>
      <c r="K10" s="5"/>
      <c r="L10" s="14" t="n">
        <v>97</v>
      </c>
      <c r="M10" s="5"/>
      <c r="N10" s="14" t="n">
        <v>142</v>
      </c>
      <c r="O10" s="14" t="n">
        <v>142</v>
      </c>
      <c r="P10" s="15"/>
      <c r="Q10" s="16" t="n">
        <v>0.317</v>
      </c>
      <c r="R10" s="16" t="n">
        <v>0.683</v>
      </c>
    </row>
    <row r="11" customFormat="false" ht="15" hidden="false" customHeight="false" outlineLevel="0" collapsed="false">
      <c r="A11" s="13" t="s">
        <v>108</v>
      </c>
      <c r="B11" s="14" t="n">
        <v>212234</v>
      </c>
      <c r="C11" s="14" t="n">
        <v>437048</v>
      </c>
      <c r="D11" s="14" t="n">
        <v>0</v>
      </c>
      <c r="E11" s="14" t="n">
        <v>649282</v>
      </c>
      <c r="F11" s="15"/>
      <c r="H11" s="5"/>
      <c r="I11" s="13" t="s">
        <v>15</v>
      </c>
      <c r="J11" s="14" t="n">
        <v>212234</v>
      </c>
      <c r="K11" s="5"/>
      <c r="L11" s="14" t="n">
        <v>437048</v>
      </c>
      <c r="M11" s="5"/>
      <c r="N11" s="14" t="n">
        <v>649282</v>
      </c>
      <c r="O11" s="14" t="n">
        <v>649282</v>
      </c>
      <c r="P11" s="15"/>
      <c r="Q11" s="16" t="n">
        <v>0.327</v>
      </c>
      <c r="R11" s="16" t="n">
        <v>0.673</v>
      </c>
    </row>
    <row r="12" customFormat="false" ht="15" hidden="false" customHeight="false" outlineLevel="0" collapsed="false">
      <c r="A12" s="13" t="s">
        <v>109</v>
      </c>
      <c r="B12" s="17" t="n">
        <v>0.3269</v>
      </c>
      <c r="C12" s="17" t="n">
        <v>0.6731</v>
      </c>
      <c r="D12" s="17" t="n">
        <v>0</v>
      </c>
      <c r="E12" s="17" t="n">
        <v>1</v>
      </c>
      <c r="F12" s="18" t="n">
        <v>4</v>
      </c>
      <c r="H12" s="5"/>
      <c r="I12" s="13" t="s">
        <v>16</v>
      </c>
      <c r="J12" s="14" t="n">
        <v>4716</v>
      </c>
      <c r="K12" s="5"/>
      <c r="L12" s="14" t="n">
        <v>4506</v>
      </c>
      <c r="M12" s="5"/>
      <c r="N12" s="14" t="n">
        <v>4572</v>
      </c>
      <c r="O12" s="14" t="n">
        <v>4572</v>
      </c>
      <c r="P12" s="15"/>
      <c r="Q12" s="5"/>
      <c r="R12" s="5"/>
    </row>
    <row r="13" customFormat="false" ht="15" hidden="false" customHeight="false" outlineLevel="0" collapsed="false">
      <c r="A13" s="13" t="s">
        <v>19</v>
      </c>
      <c r="B13" s="14" t="n">
        <v>341415</v>
      </c>
      <c r="C13" s="14" t="n">
        <v>1189680</v>
      </c>
      <c r="D13" s="14" t="n">
        <v>362540</v>
      </c>
      <c r="E13" s="14" t="n">
        <v>1893635</v>
      </c>
      <c r="F13" s="15"/>
      <c r="H13" s="5" t="s">
        <v>17</v>
      </c>
      <c r="I13" s="13" t="s">
        <v>88</v>
      </c>
      <c r="J13" s="5"/>
      <c r="K13" s="5"/>
      <c r="L13" s="5"/>
      <c r="M13" s="5"/>
      <c r="N13" s="5"/>
      <c r="O13" s="14" t="n">
        <v>5120026</v>
      </c>
      <c r="P13" s="15" t="s">
        <v>102</v>
      </c>
      <c r="Q13" s="5"/>
      <c r="R13" s="5"/>
    </row>
    <row r="14" customFormat="false" ht="15" hidden="false" customHeight="false" outlineLevel="0" collapsed="false">
      <c r="A14" s="13" t="s">
        <v>20</v>
      </c>
      <c r="B14" s="14" t="n">
        <v>2274391</v>
      </c>
      <c r="C14" s="14" t="n">
        <v>952000</v>
      </c>
      <c r="D14" s="14" t="n">
        <v>0</v>
      </c>
      <c r="E14" s="14" t="n">
        <v>3226391</v>
      </c>
      <c r="F14" s="15"/>
      <c r="H14" s="21" t="s">
        <v>17</v>
      </c>
      <c r="I14" s="9" t="s">
        <v>18</v>
      </c>
      <c r="J14" s="11" t="n">
        <v>2734311</v>
      </c>
      <c r="K14" s="19" t="n">
        <v>0.121</v>
      </c>
      <c r="L14" s="11" t="n">
        <v>2385715</v>
      </c>
      <c r="M14" s="19" t="n">
        <v>0.083</v>
      </c>
      <c r="N14" s="11" t="n">
        <v>5120026</v>
      </c>
      <c r="O14" s="11" t="n">
        <v>5120026</v>
      </c>
      <c r="P14" s="20"/>
      <c r="Q14" s="19" t="n">
        <v>0.534</v>
      </c>
      <c r="R14" s="19" t="n">
        <v>0.466</v>
      </c>
    </row>
    <row r="15" customFormat="false" ht="15" hidden="false" customHeight="false" outlineLevel="0" collapsed="false">
      <c r="A15" s="13" t="s">
        <v>110</v>
      </c>
      <c r="B15" s="14" t="n">
        <v>4525327</v>
      </c>
      <c r="C15" s="14" t="n">
        <v>3037225</v>
      </c>
      <c r="D15" s="14" t="n">
        <v>12215374</v>
      </c>
      <c r="E15" s="14" t="n">
        <v>19777926</v>
      </c>
      <c r="F15" s="15"/>
      <c r="H15" s="5"/>
      <c r="I15" s="13" t="s">
        <v>19</v>
      </c>
      <c r="J15" s="14" t="n">
        <v>459920</v>
      </c>
      <c r="K15" s="16" t="n">
        <v>0.02</v>
      </c>
      <c r="L15" s="14" t="n">
        <v>1433715</v>
      </c>
      <c r="M15" s="16" t="n">
        <v>0.05</v>
      </c>
      <c r="N15" s="14" t="n">
        <v>1893635</v>
      </c>
      <c r="O15" s="5"/>
      <c r="P15" s="15"/>
      <c r="Q15" s="16" t="n">
        <v>0.243</v>
      </c>
      <c r="R15" s="16" t="n">
        <v>0.757</v>
      </c>
    </row>
    <row r="16" customFormat="false" ht="15" hidden="false" customHeight="false" outlineLevel="0" collapsed="false">
      <c r="A16" s="13" t="s">
        <v>30</v>
      </c>
      <c r="B16" s="14" t="n">
        <v>1288618</v>
      </c>
      <c r="C16" s="14" t="n">
        <v>2032662</v>
      </c>
      <c r="D16" s="14" t="n">
        <v>0</v>
      </c>
      <c r="E16" s="14" t="n">
        <v>3321280</v>
      </c>
      <c r="F16" s="15"/>
      <c r="H16" s="5"/>
      <c r="I16" s="13" t="s">
        <v>20</v>
      </c>
      <c r="J16" s="14" t="n">
        <v>2274391</v>
      </c>
      <c r="K16" s="16" t="n">
        <v>0.1</v>
      </c>
      <c r="L16" s="14" t="n">
        <v>952000</v>
      </c>
      <c r="M16" s="16" t="n">
        <v>0.033</v>
      </c>
      <c r="N16" s="14" t="n">
        <v>3226391</v>
      </c>
      <c r="O16" s="5"/>
      <c r="P16" s="15"/>
      <c r="Q16" s="16" t="n">
        <v>0.705</v>
      </c>
      <c r="R16" s="16" t="n">
        <v>0.295</v>
      </c>
    </row>
    <row r="17" customFormat="false" ht="15" hidden="false" customHeight="false" outlineLevel="0" collapsed="false">
      <c r="A17" s="13" t="s">
        <v>31</v>
      </c>
      <c r="B17" s="14" t="n">
        <v>709053</v>
      </c>
      <c r="C17" s="14" t="n">
        <v>336820</v>
      </c>
      <c r="D17" s="14" t="n">
        <v>0</v>
      </c>
      <c r="E17" s="14" t="n">
        <v>1045873</v>
      </c>
      <c r="F17" s="15"/>
      <c r="H17" s="5"/>
      <c r="I17" s="13" t="s">
        <v>21</v>
      </c>
      <c r="J17" s="14" t="n">
        <v>8518226</v>
      </c>
      <c r="K17" s="16" t="n">
        <v>0.376</v>
      </c>
      <c r="L17" s="14" t="n">
        <v>11259700</v>
      </c>
      <c r="M17" s="16" t="n">
        <v>0.392</v>
      </c>
      <c r="N17" s="14" t="n">
        <v>19777926</v>
      </c>
      <c r="O17" s="14" t="n">
        <v>19777926</v>
      </c>
      <c r="P17" s="15" t="s">
        <v>102</v>
      </c>
      <c r="Q17" s="16" t="n">
        <v>0.431</v>
      </c>
      <c r="R17" s="16" t="n">
        <v>0.569</v>
      </c>
    </row>
    <row r="18" customFormat="false" ht="15" hidden="false" customHeight="false" outlineLevel="0" collapsed="false">
      <c r="A18" s="13" t="s">
        <v>32</v>
      </c>
      <c r="B18" s="14" t="n">
        <v>1306673</v>
      </c>
      <c r="C18" s="14" t="n">
        <v>0</v>
      </c>
      <c r="D18" s="14" t="n">
        <v>0</v>
      </c>
      <c r="E18" s="14" t="n">
        <v>1306673</v>
      </c>
      <c r="F18" s="15"/>
      <c r="H18" s="5"/>
      <c r="I18" s="13" t="s">
        <v>22</v>
      </c>
      <c r="J18" s="14" t="n">
        <v>265784</v>
      </c>
      <c r="K18" s="16" t="n">
        <v>0.012</v>
      </c>
      <c r="L18" s="14" t="n">
        <v>399116</v>
      </c>
      <c r="M18" s="16" t="n">
        <v>0.014</v>
      </c>
      <c r="N18" s="14" t="n">
        <v>664900</v>
      </c>
      <c r="O18" s="14" t="n">
        <v>664900</v>
      </c>
      <c r="P18" s="18" t="n">
        <v>2</v>
      </c>
      <c r="Q18" s="16" t="n">
        <v>0.4</v>
      </c>
      <c r="R18" s="16" t="n">
        <v>0.6</v>
      </c>
    </row>
    <row r="19" customFormat="false" ht="15" hidden="false" customHeight="false" outlineLevel="0" collapsed="false">
      <c r="A19" s="13" t="s">
        <v>33</v>
      </c>
      <c r="B19" s="14" t="n">
        <v>2482803</v>
      </c>
      <c r="C19" s="14" t="n">
        <v>0</v>
      </c>
      <c r="D19" s="14" t="n">
        <v>0</v>
      </c>
      <c r="E19" s="14" t="n">
        <v>2482803</v>
      </c>
      <c r="F19" s="15"/>
      <c r="H19" s="5"/>
      <c r="I19" s="13" t="s">
        <v>23</v>
      </c>
      <c r="J19" s="14" t="n">
        <v>1029999</v>
      </c>
      <c r="K19" s="16" t="n">
        <v>0.045</v>
      </c>
      <c r="L19" s="14" t="n">
        <v>1546708</v>
      </c>
      <c r="M19" s="16" t="n">
        <v>0.054</v>
      </c>
      <c r="N19" s="14" t="n">
        <v>2576707</v>
      </c>
      <c r="O19" s="14" t="n">
        <v>2576707</v>
      </c>
      <c r="P19" s="18" t="n">
        <v>2</v>
      </c>
      <c r="Q19" s="16" t="n">
        <v>0.4</v>
      </c>
      <c r="R19" s="16" t="n">
        <v>0.6</v>
      </c>
    </row>
    <row r="20" customFormat="false" ht="15" hidden="false" customHeight="false" outlineLevel="0" collapsed="false">
      <c r="A20" s="13" t="s">
        <v>34</v>
      </c>
      <c r="B20" s="14" t="n">
        <v>62960</v>
      </c>
      <c r="C20" s="14" t="n">
        <v>191990</v>
      </c>
      <c r="D20" s="14" t="n">
        <v>0</v>
      </c>
      <c r="E20" s="14" t="n">
        <v>254950</v>
      </c>
      <c r="F20" s="15"/>
      <c r="H20" s="5"/>
      <c r="I20" s="13" t="s">
        <v>24</v>
      </c>
      <c r="J20" s="14" t="n">
        <v>0</v>
      </c>
      <c r="K20" s="16" t="n">
        <v>0</v>
      </c>
      <c r="L20" s="14" t="n">
        <v>0</v>
      </c>
      <c r="M20" s="16" t="n">
        <v>0</v>
      </c>
      <c r="N20" s="14" t="n">
        <v>0</v>
      </c>
      <c r="O20" s="14" t="n">
        <v>0</v>
      </c>
      <c r="P20" s="18" t="n">
        <v>2</v>
      </c>
      <c r="Q20" s="22" t="s">
        <v>111</v>
      </c>
      <c r="R20" s="22" t="s">
        <v>111</v>
      </c>
    </row>
    <row r="21" customFormat="false" ht="15" hidden="false" customHeight="false" outlineLevel="0" collapsed="false">
      <c r="A21" s="13" t="s">
        <v>35</v>
      </c>
      <c r="B21" s="14" t="n">
        <v>593460</v>
      </c>
      <c r="C21" s="14" t="n">
        <v>535602</v>
      </c>
      <c r="D21" s="14" t="n">
        <v>250000</v>
      </c>
      <c r="E21" s="14" t="n">
        <v>1379062</v>
      </c>
      <c r="F21" s="15"/>
      <c r="H21" s="5"/>
      <c r="I21" s="13" t="s">
        <v>25</v>
      </c>
      <c r="J21" s="14" t="n">
        <v>0</v>
      </c>
      <c r="K21" s="16" t="n">
        <v>0</v>
      </c>
      <c r="L21" s="14" t="n">
        <v>0</v>
      </c>
      <c r="M21" s="16" t="n">
        <v>0</v>
      </c>
      <c r="N21" s="14" t="n">
        <v>0</v>
      </c>
      <c r="O21" s="14" t="n">
        <v>0</v>
      </c>
      <c r="P21" s="18" t="n">
        <v>4</v>
      </c>
      <c r="Q21" s="22" t="s">
        <v>111</v>
      </c>
      <c r="R21" s="22" t="s">
        <v>111</v>
      </c>
    </row>
    <row r="22" customFormat="false" ht="15" hidden="false" customHeight="false" outlineLevel="0" collapsed="false">
      <c r="A22" s="13" t="s">
        <v>36</v>
      </c>
      <c r="B22" s="14" t="n">
        <v>737965</v>
      </c>
      <c r="C22" s="14" t="n">
        <v>1582446</v>
      </c>
      <c r="D22" s="14" t="n">
        <v>0</v>
      </c>
      <c r="E22" s="14" t="n">
        <v>2320411</v>
      </c>
      <c r="F22" s="15"/>
      <c r="H22" s="5"/>
      <c r="I22" s="13" t="s">
        <v>26</v>
      </c>
      <c r="J22" s="14" t="n">
        <v>0</v>
      </c>
      <c r="K22" s="16" t="n">
        <v>0</v>
      </c>
      <c r="L22" s="14" t="n">
        <v>0</v>
      </c>
      <c r="M22" s="16" t="n">
        <v>0</v>
      </c>
      <c r="N22" s="14" t="n">
        <v>0</v>
      </c>
      <c r="O22" s="14" t="n">
        <v>0</v>
      </c>
      <c r="P22" s="18" t="n">
        <v>0</v>
      </c>
      <c r="Q22" s="22" t="s">
        <v>111</v>
      </c>
      <c r="R22" s="22" t="s">
        <v>111</v>
      </c>
    </row>
    <row r="23" customFormat="false" ht="15" hidden="false" customHeight="false" outlineLevel="0" collapsed="false">
      <c r="A23" s="13" t="s">
        <v>39</v>
      </c>
      <c r="B23" s="14" t="n">
        <v>27800</v>
      </c>
      <c r="C23" s="14" t="n">
        <v>395480</v>
      </c>
      <c r="D23" s="14" t="n">
        <v>537228</v>
      </c>
      <c r="E23" s="14" t="n">
        <v>960508</v>
      </c>
      <c r="F23" s="15"/>
      <c r="H23" s="21" t="s">
        <v>27</v>
      </c>
      <c r="I23" s="9" t="s">
        <v>28</v>
      </c>
      <c r="J23" s="11" t="n">
        <v>9814009</v>
      </c>
      <c r="K23" s="19" t="n">
        <v>0.433</v>
      </c>
      <c r="L23" s="11" t="n">
        <v>13205524</v>
      </c>
      <c r="M23" s="19" t="n">
        <v>0.46</v>
      </c>
      <c r="N23" s="11" t="n">
        <v>23019533</v>
      </c>
      <c r="O23" s="11" t="n">
        <v>23019533</v>
      </c>
      <c r="P23" s="20"/>
      <c r="Q23" s="19" t="n">
        <v>0.426</v>
      </c>
      <c r="R23" s="19" t="n">
        <v>0.574</v>
      </c>
    </row>
    <row r="24" customFormat="false" ht="15" hidden="false" customHeight="false" outlineLevel="0" collapsed="false">
      <c r="A24" s="13" t="s">
        <v>112</v>
      </c>
      <c r="B24" s="14" t="n">
        <v>29180</v>
      </c>
      <c r="C24" s="14" t="n">
        <v>0</v>
      </c>
      <c r="D24" s="14" t="n">
        <v>2950</v>
      </c>
      <c r="E24" s="14" t="n">
        <v>32130</v>
      </c>
      <c r="F24" s="15"/>
      <c r="H24" s="21" t="s">
        <v>17</v>
      </c>
      <c r="I24" s="9" t="s">
        <v>29</v>
      </c>
      <c r="J24" s="11" t="n">
        <v>7263251</v>
      </c>
      <c r="K24" s="19" t="n">
        <v>0.32</v>
      </c>
      <c r="L24" s="11" t="n">
        <v>4847801</v>
      </c>
      <c r="M24" s="19" t="n">
        <v>0.169</v>
      </c>
      <c r="N24" s="11" t="n">
        <v>12111052</v>
      </c>
      <c r="O24" s="11" t="n">
        <v>12111052</v>
      </c>
      <c r="P24" s="20"/>
      <c r="Q24" s="19" t="n">
        <v>0.6</v>
      </c>
      <c r="R24" s="19" t="n">
        <v>0.4</v>
      </c>
    </row>
    <row r="25" customFormat="false" ht="15" hidden="false" customHeight="false" outlineLevel="0" collapsed="false">
      <c r="F25" s="23"/>
      <c r="H25" s="5"/>
      <c r="I25" s="13" t="s">
        <v>30</v>
      </c>
      <c r="J25" s="14" t="n">
        <v>1288618</v>
      </c>
      <c r="K25" s="16" t="n">
        <v>0.057</v>
      </c>
      <c r="L25" s="14" t="n">
        <v>2032662</v>
      </c>
      <c r="M25" s="16" t="n">
        <v>0.071</v>
      </c>
      <c r="N25" s="14" t="n">
        <v>3321280</v>
      </c>
      <c r="O25" s="5"/>
      <c r="P25" s="15"/>
      <c r="Q25" s="16" t="n">
        <v>0.388</v>
      </c>
      <c r="R25" s="16" t="n">
        <v>0.612</v>
      </c>
    </row>
    <row r="26" customFormat="false" ht="15" hidden="false" customHeight="false" outlineLevel="0" collapsed="false">
      <c r="A26" s="24" t="s">
        <v>113</v>
      </c>
      <c r="B26" s="25" t="s">
        <v>92</v>
      </c>
      <c r="C26" s="25" t="s">
        <v>93</v>
      </c>
      <c r="D26" s="25" t="s">
        <v>96</v>
      </c>
      <c r="E26" s="25" t="s">
        <v>95</v>
      </c>
      <c r="F26" s="23"/>
      <c r="H26" s="5"/>
      <c r="I26" s="13" t="s">
        <v>31</v>
      </c>
      <c r="J26" s="14" t="n">
        <v>709053</v>
      </c>
      <c r="K26" s="16" t="n">
        <v>0.031</v>
      </c>
      <c r="L26" s="14" t="n">
        <v>336820</v>
      </c>
      <c r="M26" s="16" t="n">
        <v>0.012</v>
      </c>
      <c r="N26" s="14" t="n">
        <v>1045873</v>
      </c>
      <c r="O26" s="5"/>
      <c r="P26" s="15"/>
      <c r="Q26" s="16" t="n">
        <v>0.678</v>
      </c>
      <c r="R26" s="16" t="n">
        <v>0.322</v>
      </c>
    </row>
    <row r="27" customFormat="false" ht="15" hidden="false" customHeight="false" outlineLevel="0" collapsed="false">
      <c r="A27" s="13" t="s">
        <v>101</v>
      </c>
      <c r="B27" s="14" t="n">
        <v>22474506</v>
      </c>
      <c r="C27" s="14" t="n">
        <v>28272359</v>
      </c>
      <c r="D27" s="14" t="n">
        <v>4</v>
      </c>
      <c r="E27" s="14" t="n">
        <v>50746865</v>
      </c>
      <c r="F27" s="23"/>
      <c r="H27" s="5"/>
      <c r="I27" s="13" t="s">
        <v>32</v>
      </c>
      <c r="J27" s="14" t="n">
        <v>1306673</v>
      </c>
      <c r="K27" s="16" t="n">
        <v>0.058</v>
      </c>
      <c r="L27" s="14" t="n">
        <v>0</v>
      </c>
      <c r="M27" s="16" t="n">
        <v>0</v>
      </c>
      <c r="N27" s="14" t="n">
        <v>1306673</v>
      </c>
      <c r="O27" s="5"/>
      <c r="P27" s="15"/>
      <c r="Q27" s="16" t="n">
        <v>1</v>
      </c>
      <c r="R27" s="16" t="n">
        <v>0</v>
      </c>
    </row>
    <row r="28" customFormat="false" ht="15" hidden="false" customHeight="false" outlineLevel="0" collapsed="false">
      <c r="A28" s="13" t="s">
        <v>104</v>
      </c>
      <c r="B28" s="14" t="n">
        <v>26</v>
      </c>
      <c r="C28" s="14" t="n">
        <v>40</v>
      </c>
      <c r="D28" s="14" t="n">
        <v>4</v>
      </c>
      <c r="E28" s="14" t="n">
        <v>66</v>
      </c>
      <c r="F28" s="23"/>
      <c r="H28" s="5"/>
      <c r="I28" s="13" t="s">
        <v>33</v>
      </c>
      <c r="J28" s="14" t="n">
        <v>2482803</v>
      </c>
      <c r="K28" s="16" t="n">
        <v>0.11</v>
      </c>
      <c r="L28" s="14" t="n">
        <v>0</v>
      </c>
      <c r="M28" s="16" t="n">
        <v>0</v>
      </c>
      <c r="N28" s="14" t="n">
        <v>2482803</v>
      </c>
      <c r="O28" s="5"/>
      <c r="P28" s="15"/>
      <c r="Q28" s="16" t="n">
        <v>1</v>
      </c>
      <c r="R28" s="16" t="n">
        <v>0</v>
      </c>
    </row>
    <row r="29" customFormat="false" ht="15" hidden="false" customHeight="false" outlineLevel="0" collapsed="false">
      <c r="A29" s="13" t="s">
        <v>106</v>
      </c>
      <c r="B29" s="14" t="n">
        <v>45</v>
      </c>
      <c r="C29" s="14" t="n">
        <v>97</v>
      </c>
      <c r="D29" s="14" t="n">
        <v>3</v>
      </c>
      <c r="E29" s="14" t="n">
        <v>142</v>
      </c>
      <c r="F29" s="23"/>
      <c r="H29" s="5"/>
      <c r="I29" s="13" t="s">
        <v>34</v>
      </c>
      <c r="J29" s="14" t="n">
        <v>62960</v>
      </c>
      <c r="K29" s="16" t="n">
        <v>0.003</v>
      </c>
      <c r="L29" s="14" t="n">
        <v>191990</v>
      </c>
      <c r="M29" s="16" t="n">
        <v>0.007</v>
      </c>
      <c r="N29" s="14" t="n">
        <v>254950</v>
      </c>
      <c r="O29" s="5"/>
      <c r="P29" s="15"/>
      <c r="Q29" s="16" t="n">
        <v>0.247</v>
      </c>
      <c r="R29" s="16" t="n">
        <v>0.753</v>
      </c>
    </row>
    <row r="30" customFormat="false" ht="15" hidden="false" customHeight="false" outlineLevel="0" collapsed="false">
      <c r="A30" s="13" t="s">
        <v>108</v>
      </c>
      <c r="B30" s="14" t="n">
        <v>212234</v>
      </c>
      <c r="C30" s="14" t="n">
        <v>437048</v>
      </c>
      <c r="D30" s="14" t="n">
        <v>4</v>
      </c>
      <c r="E30" s="14" t="n">
        <v>649282</v>
      </c>
      <c r="F30" s="23"/>
      <c r="H30" s="5"/>
      <c r="I30" s="13" t="s">
        <v>35</v>
      </c>
      <c r="J30" s="14" t="n">
        <v>675179</v>
      </c>
      <c r="K30" s="16" t="n">
        <v>0.03</v>
      </c>
      <c r="L30" s="14" t="n">
        <v>703883</v>
      </c>
      <c r="M30" s="16" t="n">
        <v>0.025</v>
      </c>
      <c r="N30" s="14" t="n">
        <v>1379062</v>
      </c>
      <c r="O30" s="5"/>
      <c r="P30" s="15"/>
      <c r="Q30" s="16" t="n">
        <v>0.49</v>
      </c>
      <c r="R30" s="16" t="n">
        <v>0.51</v>
      </c>
    </row>
    <row r="31" customFormat="false" ht="15" hidden="false" customHeight="false" outlineLevel="0" collapsed="false">
      <c r="A31" s="13" t="s">
        <v>19</v>
      </c>
      <c r="B31" s="14" t="n">
        <v>459920</v>
      </c>
      <c r="C31" s="14" t="n">
        <v>1433715</v>
      </c>
      <c r="D31" s="14" t="n">
        <v>4</v>
      </c>
      <c r="E31" s="14" t="n">
        <v>1893635</v>
      </c>
      <c r="F31" s="23"/>
      <c r="H31" s="5"/>
      <c r="I31" s="13" t="s">
        <v>36</v>
      </c>
      <c r="J31" s="14" t="n">
        <v>737965</v>
      </c>
      <c r="K31" s="16" t="n">
        <v>0.033</v>
      </c>
      <c r="L31" s="14" t="n">
        <v>1582446</v>
      </c>
      <c r="M31" s="16" t="n">
        <v>0.055</v>
      </c>
      <c r="N31" s="14" t="n">
        <v>2320411</v>
      </c>
      <c r="O31" s="5"/>
      <c r="P31" s="15"/>
      <c r="Q31" s="16" t="n">
        <v>0.318</v>
      </c>
      <c r="R31" s="16" t="n">
        <v>0.682</v>
      </c>
    </row>
    <row r="32" customFormat="false" ht="15" hidden="false" customHeight="false" outlineLevel="0" collapsed="false">
      <c r="A32" s="13" t="s">
        <v>20</v>
      </c>
      <c r="B32" s="14" t="n">
        <v>2274391</v>
      </c>
      <c r="C32" s="14" t="n">
        <v>952000</v>
      </c>
      <c r="D32" s="14" t="n">
        <v>4</v>
      </c>
      <c r="E32" s="14" t="n">
        <v>3226391</v>
      </c>
      <c r="F32" s="23"/>
      <c r="H32" s="5" t="s">
        <v>17</v>
      </c>
      <c r="I32" s="13" t="s">
        <v>37</v>
      </c>
      <c r="J32" s="14" t="n">
        <v>508540</v>
      </c>
      <c r="K32" s="16" t="n">
        <v>0.022</v>
      </c>
      <c r="L32" s="14" t="n">
        <v>1047223</v>
      </c>
      <c r="M32" s="16" t="n">
        <v>0.036</v>
      </c>
      <c r="N32" s="14" t="n">
        <v>1555763</v>
      </c>
      <c r="O32" s="14" t="n">
        <v>1555763</v>
      </c>
      <c r="P32" s="18" t="n">
        <v>4</v>
      </c>
      <c r="Q32" s="16" t="n">
        <v>0.327</v>
      </c>
      <c r="R32" s="16" t="n">
        <v>0.673</v>
      </c>
    </row>
    <row r="33" customFormat="false" ht="15" hidden="false" customHeight="false" outlineLevel="0" collapsed="false">
      <c r="A33" s="13" t="s">
        <v>110</v>
      </c>
      <c r="B33" s="14" t="n">
        <v>8518226</v>
      </c>
      <c r="C33" s="14" t="n">
        <v>11259700</v>
      </c>
      <c r="D33" s="14" t="n">
        <v>4</v>
      </c>
      <c r="E33" s="14" t="n">
        <v>19777926</v>
      </c>
      <c r="F33" s="23"/>
      <c r="H33" s="5" t="s">
        <v>27</v>
      </c>
      <c r="I33" s="13" t="s">
        <v>38</v>
      </c>
      <c r="J33" s="14" t="n">
        <v>110903</v>
      </c>
      <c r="K33" s="16" t="n">
        <v>0.005</v>
      </c>
      <c r="L33" s="14" t="n">
        <v>110903</v>
      </c>
      <c r="M33" s="16" t="n">
        <v>0.004</v>
      </c>
      <c r="N33" s="14" t="n">
        <v>221806</v>
      </c>
      <c r="O33" s="14" t="n">
        <v>221806</v>
      </c>
      <c r="P33" s="18" t="n">
        <v>0</v>
      </c>
      <c r="Q33" s="16" t="n">
        <v>0.5</v>
      </c>
      <c r="R33" s="16" t="n">
        <v>0.5</v>
      </c>
    </row>
    <row r="34" customFormat="false" ht="15" hidden="false" customHeight="false" outlineLevel="0" collapsed="false">
      <c r="A34" s="13" t="s">
        <v>30</v>
      </c>
      <c r="B34" s="14" t="n">
        <v>1288618</v>
      </c>
      <c r="C34" s="14" t="n">
        <v>2032662</v>
      </c>
      <c r="D34" s="14" t="n">
        <v>4</v>
      </c>
      <c r="E34" s="14" t="n">
        <v>3321280</v>
      </c>
      <c r="F34" s="23"/>
      <c r="H34" s="5" t="s">
        <v>17</v>
      </c>
      <c r="I34" s="13" t="s">
        <v>39</v>
      </c>
      <c r="J34" s="14" t="n">
        <v>203406</v>
      </c>
      <c r="K34" s="16" t="n">
        <v>0.009</v>
      </c>
      <c r="L34" s="14" t="n">
        <v>757102</v>
      </c>
      <c r="M34" s="16" t="n">
        <v>0.026</v>
      </c>
      <c r="N34" s="14" t="n">
        <v>960508</v>
      </c>
      <c r="O34" s="14" t="n">
        <v>960508</v>
      </c>
      <c r="P34" s="15" t="s">
        <v>102</v>
      </c>
      <c r="Q34" s="16" t="n">
        <v>0.212</v>
      </c>
      <c r="R34" s="16" t="n">
        <v>0.788</v>
      </c>
    </row>
    <row r="35" customFormat="false" ht="15" hidden="false" customHeight="false" outlineLevel="0" collapsed="false">
      <c r="A35" s="13" t="s">
        <v>31</v>
      </c>
      <c r="B35" s="14" t="n">
        <v>709053</v>
      </c>
      <c r="C35" s="14" t="n">
        <v>336820</v>
      </c>
      <c r="D35" s="14" t="n">
        <v>4</v>
      </c>
      <c r="E35" s="14" t="n">
        <v>1045873</v>
      </c>
      <c r="F35" s="23"/>
      <c r="H35" s="5" t="s">
        <v>27</v>
      </c>
      <c r="I35" s="13" t="s">
        <v>40</v>
      </c>
      <c r="J35" s="14" t="n">
        <v>2549697</v>
      </c>
      <c r="K35" s="16" t="n">
        <v>0.112</v>
      </c>
      <c r="L35" s="14" t="n">
        <v>5042546</v>
      </c>
      <c r="M35" s="16" t="n">
        <v>0.176</v>
      </c>
      <c r="N35" s="14" t="n">
        <v>7592243</v>
      </c>
      <c r="O35" s="14" t="n">
        <v>0</v>
      </c>
      <c r="P35" s="15" t="s">
        <v>102</v>
      </c>
      <c r="Q35" s="16" t="n">
        <v>0.336</v>
      </c>
      <c r="R35" s="16" t="n">
        <v>0.664</v>
      </c>
    </row>
    <row r="36" customFormat="false" ht="15" hidden="false" customHeight="false" outlineLevel="0" collapsed="false">
      <c r="A36" s="13" t="s">
        <v>32</v>
      </c>
      <c r="B36" s="14" t="n">
        <v>1306673</v>
      </c>
      <c r="C36" s="14" t="n">
        <v>0</v>
      </c>
      <c r="D36" s="14" t="n">
        <v>4</v>
      </c>
      <c r="E36" s="14" t="n">
        <v>1306673</v>
      </c>
      <c r="F36" s="23"/>
      <c r="H36" s="5" t="s">
        <v>17</v>
      </c>
      <c r="I36" s="13" t="s">
        <v>41</v>
      </c>
      <c r="J36" s="14" t="n">
        <v>26944</v>
      </c>
      <c r="K36" s="16" t="n">
        <v>0.001</v>
      </c>
      <c r="L36" s="14" t="n">
        <v>55486</v>
      </c>
      <c r="M36" s="16" t="n">
        <v>0.002</v>
      </c>
      <c r="N36" s="14" t="n">
        <v>82430</v>
      </c>
      <c r="O36" s="14" t="n">
        <v>82430</v>
      </c>
      <c r="P36" s="18" t="n">
        <v>4</v>
      </c>
      <c r="Q36" s="16" t="n">
        <v>0.327</v>
      </c>
      <c r="R36" s="16" t="n">
        <v>0.673</v>
      </c>
    </row>
    <row r="37" customFormat="false" ht="15" hidden="false" customHeight="false" outlineLevel="0" collapsed="false">
      <c r="A37" s="13" t="s">
        <v>33</v>
      </c>
      <c r="B37" s="14" t="n">
        <v>2482803</v>
      </c>
      <c r="C37" s="14" t="n">
        <v>0</v>
      </c>
      <c r="D37" s="14" t="n">
        <v>4</v>
      </c>
      <c r="E37" s="14" t="n">
        <v>2482803</v>
      </c>
      <c r="F37" s="23"/>
      <c r="H37" s="5" t="s">
        <v>27</v>
      </c>
      <c r="I37" s="13" t="s">
        <v>42</v>
      </c>
      <c r="J37" s="14" t="n">
        <v>46293</v>
      </c>
      <c r="K37" s="16" t="n">
        <v>0.002</v>
      </c>
      <c r="L37" s="14" t="n">
        <v>95331</v>
      </c>
      <c r="M37" s="16" t="n">
        <v>0.003</v>
      </c>
      <c r="N37" s="14" t="n">
        <v>141624</v>
      </c>
      <c r="O37" s="14" t="n">
        <v>141624</v>
      </c>
      <c r="P37" s="18" t="n">
        <v>4</v>
      </c>
      <c r="Q37" s="16" t="n">
        <v>0.327</v>
      </c>
      <c r="R37" s="16" t="n">
        <v>0.673</v>
      </c>
    </row>
    <row r="38" customFormat="false" ht="15" hidden="false" customHeight="false" outlineLevel="0" collapsed="false">
      <c r="A38" s="13" t="s">
        <v>34</v>
      </c>
      <c r="B38" s="14" t="n">
        <v>62960</v>
      </c>
      <c r="C38" s="14" t="n">
        <v>191990</v>
      </c>
      <c r="D38" s="14" t="n">
        <v>4</v>
      </c>
      <c r="E38" s="14" t="n">
        <v>254950</v>
      </c>
      <c r="F38" s="23"/>
      <c r="H38" s="5" t="s">
        <v>27</v>
      </c>
      <c r="I38" s="13" t="s">
        <v>43</v>
      </c>
      <c r="J38" s="14" t="n">
        <v>47121</v>
      </c>
      <c r="K38" s="16" t="n">
        <v>0.002</v>
      </c>
      <c r="L38" s="14" t="n">
        <v>97036</v>
      </c>
      <c r="M38" s="16" t="n">
        <v>0.003</v>
      </c>
      <c r="N38" s="14" t="n">
        <v>144157</v>
      </c>
      <c r="O38" s="14" t="n">
        <v>144157</v>
      </c>
      <c r="P38" s="18" t="n">
        <v>4</v>
      </c>
      <c r="Q38" s="16" t="n">
        <v>0.327</v>
      </c>
      <c r="R38" s="16" t="n">
        <v>0.673</v>
      </c>
    </row>
    <row r="39" customFormat="false" ht="15" hidden="false" customHeight="false" outlineLevel="0" collapsed="false">
      <c r="A39" s="13" t="s">
        <v>35</v>
      </c>
      <c r="B39" s="14" t="n">
        <v>675179</v>
      </c>
      <c r="C39" s="14" t="n">
        <v>703883</v>
      </c>
      <c r="D39" s="14" t="n">
        <v>4</v>
      </c>
      <c r="E39" s="14" t="n">
        <v>1379062</v>
      </c>
      <c r="F39" s="23"/>
      <c r="H39" s="5" t="s">
        <v>27</v>
      </c>
      <c r="I39" s="13" t="s">
        <v>44</v>
      </c>
      <c r="J39" s="14" t="n">
        <v>8082</v>
      </c>
      <c r="K39" s="16" t="n">
        <v>0</v>
      </c>
      <c r="L39" s="14" t="n">
        <v>10168</v>
      </c>
      <c r="M39" s="16" t="n">
        <v>0</v>
      </c>
      <c r="N39" s="14" t="n">
        <v>18250</v>
      </c>
      <c r="O39" s="14" t="n">
        <v>18250</v>
      </c>
      <c r="P39" s="18" t="n">
        <v>1</v>
      </c>
      <c r="Q39" s="16" t="n">
        <v>0.443</v>
      </c>
      <c r="R39" s="16" t="n">
        <v>0.557</v>
      </c>
    </row>
    <row r="40" customFormat="false" ht="15" hidden="false" customHeight="false" outlineLevel="0" collapsed="false">
      <c r="A40" s="13" t="s">
        <v>36</v>
      </c>
      <c r="B40" s="14" t="n">
        <v>737965</v>
      </c>
      <c r="C40" s="14" t="n">
        <v>1582446</v>
      </c>
      <c r="D40" s="14" t="n">
        <v>4</v>
      </c>
      <c r="E40" s="14" t="n">
        <v>2320411</v>
      </c>
      <c r="F40" s="23"/>
      <c r="H40" s="5" t="s">
        <v>17</v>
      </c>
      <c r="I40" s="13" t="s">
        <v>45</v>
      </c>
      <c r="J40" s="14" t="n">
        <v>38782</v>
      </c>
      <c r="K40" s="16" t="n">
        <v>0.002</v>
      </c>
      <c r="L40" s="14" t="n">
        <v>79864</v>
      </c>
      <c r="M40" s="16" t="n">
        <v>0.003</v>
      </c>
      <c r="N40" s="14" t="n">
        <v>118646</v>
      </c>
      <c r="O40" s="14" t="n">
        <v>118646</v>
      </c>
      <c r="P40" s="18" t="n">
        <v>4</v>
      </c>
      <c r="Q40" s="16" t="n">
        <v>0.327</v>
      </c>
      <c r="R40" s="16" t="n">
        <v>0.673</v>
      </c>
    </row>
    <row r="41" customFormat="false" ht="15" hidden="false" customHeight="false" outlineLevel="0" collapsed="false">
      <c r="A41" s="13" t="s">
        <v>39</v>
      </c>
      <c r="B41" s="14" t="n">
        <v>203406</v>
      </c>
      <c r="C41" s="14" t="n">
        <v>757102</v>
      </c>
      <c r="D41" s="14" t="n">
        <v>4</v>
      </c>
      <c r="E41" s="14" t="n">
        <v>960508</v>
      </c>
      <c r="F41" s="23"/>
      <c r="H41" s="5" t="s">
        <v>17</v>
      </c>
      <c r="I41" s="13" t="s">
        <v>46</v>
      </c>
      <c r="J41" s="14" t="n">
        <v>30432</v>
      </c>
      <c r="K41" s="16" t="n">
        <v>0.001</v>
      </c>
      <c r="L41" s="14" t="n">
        <v>62668</v>
      </c>
      <c r="M41" s="16" t="n">
        <v>0.002</v>
      </c>
      <c r="N41" s="14" t="n">
        <v>93100</v>
      </c>
      <c r="O41" s="14" t="n">
        <v>93100</v>
      </c>
      <c r="P41" s="18" t="n">
        <v>4</v>
      </c>
      <c r="Q41" s="16" t="n">
        <v>0.327</v>
      </c>
      <c r="R41" s="16" t="n">
        <v>0.673</v>
      </c>
    </row>
    <row r="42" customFormat="false" ht="15" hidden="false" customHeight="false" outlineLevel="0" collapsed="false">
      <c r="A42" s="13" t="s">
        <v>112</v>
      </c>
      <c r="B42" s="14" t="n">
        <v>30144</v>
      </c>
      <c r="C42" s="14" t="n">
        <v>1986</v>
      </c>
      <c r="D42" s="14" t="n">
        <v>4</v>
      </c>
      <c r="E42" s="14" t="n">
        <v>32130</v>
      </c>
      <c r="F42" s="23"/>
      <c r="H42" s="5" t="s">
        <v>17</v>
      </c>
      <c r="I42" s="13" t="s">
        <v>47</v>
      </c>
      <c r="J42" s="14" t="n">
        <v>148405</v>
      </c>
      <c r="K42" s="16" t="n">
        <v>0.007</v>
      </c>
      <c r="L42" s="14" t="n">
        <v>305607</v>
      </c>
      <c r="M42" s="16" t="n">
        <v>0.011</v>
      </c>
      <c r="N42" s="14" t="n">
        <v>454012</v>
      </c>
      <c r="O42" s="14" t="n">
        <v>454012</v>
      </c>
      <c r="P42" s="18" t="n">
        <v>4</v>
      </c>
      <c r="Q42" s="16" t="n">
        <v>0.327</v>
      </c>
      <c r="R42" s="16" t="n">
        <v>0.673</v>
      </c>
    </row>
    <row r="43" customFormat="false" ht="15" hidden="false" customHeight="false" outlineLevel="0" collapsed="false">
      <c r="F43" s="23"/>
      <c r="H43" s="5" t="s">
        <v>27</v>
      </c>
      <c r="I43" s="13" t="s">
        <v>48</v>
      </c>
      <c r="J43" s="14" t="n">
        <v>120466</v>
      </c>
      <c r="K43" s="16" t="n">
        <v>0.005</v>
      </c>
      <c r="L43" s="14" t="n">
        <v>120466</v>
      </c>
      <c r="M43" s="16" t="n">
        <v>0.004</v>
      </c>
      <c r="N43" s="14" t="n">
        <v>240932</v>
      </c>
      <c r="O43" s="14" t="n">
        <v>240932</v>
      </c>
      <c r="P43" s="18" t="n">
        <v>0</v>
      </c>
      <c r="Q43" s="16" t="n">
        <v>0.5</v>
      </c>
      <c r="R43" s="16" t="n">
        <v>0.5</v>
      </c>
    </row>
    <row r="44" customFormat="false" ht="15" hidden="false" customHeight="false" outlineLevel="0" collapsed="false">
      <c r="A44" s="26" t="s">
        <v>114</v>
      </c>
      <c r="B44" s="27" t="s">
        <v>92</v>
      </c>
      <c r="C44" s="27" t="s">
        <v>93</v>
      </c>
      <c r="D44" s="27" t="s">
        <v>95</v>
      </c>
      <c r="E44" s="27" t="s">
        <v>96</v>
      </c>
      <c r="F44" s="23"/>
      <c r="H44" s="5" t="s">
        <v>27</v>
      </c>
      <c r="I44" s="13" t="s">
        <v>49</v>
      </c>
      <c r="J44" s="14" t="n">
        <v>151950</v>
      </c>
      <c r="K44" s="16" t="n">
        <v>0.007</v>
      </c>
      <c r="L44" s="14" t="n">
        <v>151950</v>
      </c>
      <c r="M44" s="16" t="n">
        <v>0.005</v>
      </c>
      <c r="N44" s="14" t="n">
        <v>303900</v>
      </c>
      <c r="O44" s="14" t="n">
        <v>303900</v>
      </c>
      <c r="P44" s="18" t="n">
        <v>0</v>
      </c>
      <c r="Q44" s="16" t="n">
        <v>0.5</v>
      </c>
      <c r="R44" s="16" t="n">
        <v>0.5</v>
      </c>
    </row>
    <row r="45" customFormat="false" ht="15" hidden="false" customHeight="false" outlineLevel="0" collapsed="false">
      <c r="A45" s="13" t="s">
        <v>101</v>
      </c>
      <c r="B45" s="17" t="n">
        <v>0.4429</v>
      </c>
      <c r="C45" s="17" t="n">
        <v>0.5571</v>
      </c>
      <c r="D45" s="17" t="n">
        <v>1</v>
      </c>
      <c r="E45" s="14" t="n">
        <v>1</v>
      </c>
      <c r="F45" s="23"/>
      <c r="H45" s="21"/>
      <c r="I45" s="9" t="s">
        <v>50</v>
      </c>
      <c r="J45" s="11" t="n">
        <v>3991023</v>
      </c>
      <c r="K45" s="19" t="n">
        <v>0.176</v>
      </c>
      <c r="L45" s="11" t="n">
        <v>7936348</v>
      </c>
      <c r="M45" s="19" t="n">
        <v>0.276</v>
      </c>
      <c r="N45" s="11" t="n">
        <v>11927371</v>
      </c>
      <c r="O45" s="11" t="n">
        <v>4335128</v>
      </c>
      <c r="P45" s="20"/>
      <c r="Q45" s="19" t="n">
        <v>0.335</v>
      </c>
      <c r="R45" s="19" t="n">
        <v>0.665</v>
      </c>
    </row>
    <row r="46" customFormat="false" ht="15" hidden="false" customHeight="false" outlineLevel="0" collapsed="false">
      <c r="A46" s="13" t="s">
        <v>104</v>
      </c>
      <c r="B46" s="17" t="n">
        <v>0.3997</v>
      </c>
      <c r="C46" s="17" t="n">
        <v>0.6003</v>
      </c>
      <c r="D46" s="17" t="n">
        <v>1</v>
      </c>
      <c r="E46" s="14" t="n">
        <v>2</v>
      </c>
      <c r="F46" s="23"/>
      <c r="H46" s="21"/>
      <c r="I46" s="9" t="s">
        <v>51</v>
      </c>
      <c r="J46" s="11" t="n">
        <v>23802595</v>
      </c>
      <c r="K46" s="19" t="n">
        <v>1.05</v>
      </c>
      <c r="L46" s="11" t="n">
        <v>28375387</v>
      </c>
      <c r="M46" s="19" t="n">
        <v>0.988</v>
      </c>
      <c r="N46" s="11" t="n">
        <v>52177982</v>
      </c>
      <c r="O46" s="11" t="n">
        <v>44585739</v>
      </c>
      <c r="P46" s="20"/>
      <c r="Q46" s="19" t="n">
        <v>0.456</v>
      </c>
      <c r="R46" s="19" t="n">
        <v>0.544</v>
      </c>
    </row>
    <row r="47" customFormat="false" ht="15" hidden="false" customHeight="false" outlineLevel="0" collapsed="false">
      <c r="A47" s="13" t="s">
        <v>106</v>
      </c>
      <c r="B47" s="17" t="n">
        <v>0.3169</v>
      </c>
      <c r="C47" s="17" t="n">
        <v>0.6831</v>
      </c>
      <c r="D47" s="17" t="n">
        <v>1</v>
      </c>
      <c r="E47" s="14" t="n">
        <v>3</v>
      </c>
      <c r="F47" s="23"/>
      <c r="P47" s="23"/>
    </row>
    <row r="48" customFormat="false" ht="15" hidden="false" customHeight="false" outlineLevel="0" collapsed="false">
      <c r="A48" s="13" t="s">
        <v>108</v>
      </c>
      <c r="B48" s="17" t="n">
        <v>0.3269</v>
      </c>
      <c r="C48" s="17" t="n">
        <v>0.6731</v>
      </c>
      <c r="D48" s="17" t="n">
        <v>1</v>
      </c>
      <c r="E48" s="14" t="n">
        <v>4</v>
      </c>
      <c r="F48" s="23"/>
      <c r="H48" s="12"/>
      <c r="I48" s="12" t="s">
        <v>2</v>
      </c>
      <c r="J48" s="12" t="s">
        <v>92</v>
      </c>
      <c r="K48" s="12" t="s">
        <v>97</v>
      </c>
      <c r="L48" s="12" t="s">
        <v>93</v>
      </c>
      <c r="M48" s="12" t="s">
        <v>97</v>
      </c>
      <c r="N48" s="12" t="s">
        <v>98</v>
      </c>
      <c r="O48" s="12" t="s">
        <v>95</v>
      </c>
      <c r="P48" s="12" t="s">
        <v>96</v>
      </c>
      <c r="Q48" s="12" t="s">
        <v>99</v>
      </c>
      <c r="R48" s="12" t="s">
        <v>100</v>
      </c>
    </row>
    <row r="49" customFormat="false" ht="15" hidden="false" customHeight="false" outlineLevel="0" collapsed="false">
      <c r="A49" s="13" t="s">
        <v>19</v>
      </c>
      <c r="B49" s="17" t="n">
        <v>0.2429</v>
      </c>
      <c r="C49" s="17" t="n">
        <v>0.7571</v>
      </c>
      <c r="D49" s="17" t="n">
        <v>1</v>
      </c>
      <c r="E49" s="5"/>
      <c r="F49" s="23"/>
      <c r="H49" s="21"/>
      <c r="I49" s="9" t="s">
        <v>52</v>
      </c>
      <c r="J49" s="11" t="n">
        <v>23802595</v>
      </c>
      <c r="K49" s="19" t="n">
        <v>1.05</v>
      </c>
      <c r="L49" s="11" t="n">
        <v>28375387</v>
      </c>
      <c r="M49" s="19" t="n">
        <v>0.988</v>
      </c>
      <c r="N49" s="11" t="n">
        <v>52177982</v>
      </c>
      <c r="O49" s="11" t="n">
        <v>44585739</v>
      </c>
      <c r="P49" s="20" t="s">
        <v>102</v>
      </c>
      <c r="Q49" s="19" t="n">
        <v>0.456</v>
      </c>
      <c r="R49" s="19" t="n">
        <v>0.544</v>
      </c>
    </row>
    <row r="50" customFormat="false" ht="15" hidden="false" customHeight="false" outlineLevel="0" collapsed="false">
      <c r="A50" s="13" t="s">
        <v>20</v>
      </c>
      <c r="B50" s="17" t="n">
        <v>0.7049</v>
      </c>
      <c r="C50" s="17" t="n">
        <v>0.2951</v>
      </c>
      <c r="D50" s="17" t="n">
        <v>1</v>
      </c>
      <c r="E50" s="5"/>
      <c r="F50" s="23"/>
      <c r="H50" s="21"/>
      <c r="I50" s="9" t="s">
        <v>53</v>
      </c>
      <c r="J50" s="28" t="n">
        <v>-1136010</v>
      </c>
      <c r="K50" s="29" t="n">
        <v>-0.05</v>
      </c>
      <c r="L50" s="11" t="n">
        <v>352604</v>
      </c>
      <c r="M50" s="19" t="n">
        <v>0.012</v>
      </c>
      <c r="N50" s="28" t="n">
        <v>-783407</v>
      </c>
      <c r="O50" s="11" t="n">
        <v>6808836</v>
      </c>
      <c r="P50" s="20"/>
      <c r="Q50" s="19" t="n">
        <v>1.45</v>
      </c>
      <c r="R50" s="29" t="n">
        <v>-0.45</v>
      </c>
    </row>
    <row r="51" customFormat="false" ht="15" hidden="false" customHeight="false" outlineLevel="0" collapsed="false">
      <c r="A51" s="13" t="s">
        <v>110</v>
      </c>
      <c r="B51" s="17" t="n">
        <v>0.4307</v>
      </c>
      <c r="C51" s="17" t="n">
        <v>0.5693</v>
      </c>
      <c r="D51" s="17" t="n">
        <v>1</v>
      </c>
      <c r="E51" s="5"/>
      <c r="F51" s="23"/>
      <c r="H51" s="5"/>
      <c r="I51" s="13" t="s">
        <v>54</v>
      </c>
      <c r="J51" s="14" t="n">
        <v>1477526</v>
      </c>
      <c r="K51" s="16" t="n">
        <v>0.065</v>
      </c>
      <c r="L51" s="14" t="n">
        <v>1477526</v>
      </c>
      <c r="M51" s="16" t="n">
        <v>0.051</v>
      </c>
      <c r="N51" s="14" t="n">
        <v>2955052</v>
      </c>
      <c r="O51" s="14" t="n">
        <v>2955052</v>
      </c>
      <c r="P51" s="18" t="n">
        <v>0</v>
      </c>
      <c r="Q51" s="16" t="n">
        <v>0.5</v>
      </c>
      <c r="R51" s="16" t="n">
        <v>0.5</v>
      </c>
    </row>
    <row r="52" customFormat="false" ht="15" hidden="false" customHeight="false" outlineLevel="0" collapsed="false">
      <c r="A52" s="13" t="s">
        <v>30</v>
      </c>
      <c r="B52" s="17" t="n">
        <v>0.388</v>
      </c>
      <c r="C52" s="17" t="n">
        <v>0.612</v>
      </c>
      <c r="D52" s="17" t="n">
        <v>1</v>
      </c>
      <c r="E52" s="5"/>
      <c r="F52" s="23"/>
      <c r="H52" s="5"/>
      <c r="I52" s="13" t="s">
        <v>55</v>
      </c>
      <c r="J52" s="14" t="n">
        <v>1464234</v>
      </c>
      <c r="K52" s="16" t="n">
        <v>0.065</v>
      </c>
      <c r="L52" s="14" t="n">
        <v>3156237</v>
      </c>
      <c r="M52" s="16" t="n">
        <v>0.11</v>
      </c>
      <c r="N52" s="14" t="n">
        <v>4620471</v>
      </c>
      <c r="O52" s="14" t="n">
        <v>4620471</v>
      </c>
      <c r="P52" s="18" t="n">
        <v>3</v>
      </c>
      <c r="Q52" s="16" t="n">
        <v>0.317</v>
      </c>
      <c r="R52" s="16" t="n">
        <v>0.683</v>
      </c>
    </row>
    <row r="53" customFormat="false" ht="15" hidden="false" customHeight="false" outlineLevel="0" collapsed="false">
      <c r="A53" s="13" t="s">
        <v>31</v>
      </c>
      <c r="B53" s="17" t="n">
        <v>0.678</v>
      </c>
      <c r="C53" s="17" t="n">
        <v>0.322</v>
      </c>
      <c r="D53" s="17" t="n">
        <v>1</v>
      </c>
      <c r="E53" s="5"/>
      <c r="F53" s="23"/>
      <c r="H53" s="5"/>
      <c r="I53" s="13" t="s">
        <v>23</v>
      </c>
      <c r="J53" s="14" t="n">
        <v>291564</v>
      </c>
      <c r="K53" s="16" t="n">
        <v>0.013</v>
      </c>
      <c r="L53" s="14" t="n">
        <v>628481</v>
      </c>
      <c r="M53" s="16" t="n">
        <v>0.022</v>
      </c>
      <c r="N53" s="14" t="n">
        <v>920045</v>
      </c>
      <c r="O53" s="14" t="n">
        <v>920045</v>
      </c>
      <c r="P53" s="18" t="n">
        <v>3</v>
      </c>
      <c r="Q53" s="16" t="n">
        <v>0.317</v>
      </c>
      <c r="R53" s="16" t="n">
        <v>0.683</v>
      </c>
    </row>
    <row r="54" customFormat="false" ht="15" hidden="false" customHeight="false" outlineLevel="0" collapsed="false">
      <c r="A54" s="13" t="s">
        <v>32</v>
      </c>
      <c r="B54" s="17" t="n">
        <v>1</v>
      </c>
      <c r="C54" s="17" t="n">
        <v>0</v>
      </c>
      <c r="D54" s="17" t="n">
        <v>1</v>
      </c>
      <c r="E54" s="5"/>
      <c r="F54" s="23"/>
      <c r="H54" s="5"/>
      <c r="I54" s="13" t="s">
        <v>24</v>
      </c>
      <c r="J54" s="14" t="n">
        <v>3565</v>
      </c>
      <c r="K54" s="16" t="n">
        <v>0</v>
      </c>
      <c r="L54" s="14" t="n">
        <v>7684</v>
      </c>
      <c r="M54" s="16" t="n">
        <v>0</v>
      </c>
      <c r="N54" s="14" t="n">
        <v>11249</v>
      </c>
      <c r="O54" s="14" t="n">
        <v>11249</v>
      </c>
      <c r="P54" s="18" t="n">
        <v>3</v>
      </c>
      <c r="Q54" s="16" t="n">
        <v>0.317</v>
      </c>
      <c r="R54" s="16" t="n">
        <v>0.683</v>
      </c>
    </row>
    <row r="55" customFormat="false" ht="15" hidden="false" customHeight="false" outlineLevel="0" collapsed="false">
      <c r="A55" s="13" t="s">
        <v>33</v>
      </c>
      <c r="B55" s="17" t="n">
        <v>1</v>
      </c>
      <c r="C55" s="17" t="n">
        <v>0</v>
      </c>
      <c r="D55" s="17" t="n">
        <v>1</v>
      </c>
      <c r="E55" s="5"/>
      <c r="F55" s="23"/>
      <c r="H55" s="5"/>
      <c r="I55" s="13" t="s">
        <v>56</v>
      </c>
      <c r="J55" s="14" t="n">
        <v>250302</v>
      </c>
      <c r="K55" s="16" t="n">
        <v>0.011</v>
      </c>
      <c r="L55" s="14" t="n">
        <v>250302</v>
      </c>
      <c r="M55" s="16" t="n">
        <v>0.009</v>
      </c>
      <c r="N55" s="14" t="n">
        <v>500604</v>
      </c>
      <c r="O55" s="14" t="n">
        <v>500604</v>
      </c>
      <c r="P55" s="18" t="n">
        <v>0</v>
      </c>
      <c r="Q55" s="16" t="n">
        <v>0.5</v>
      </c>
      <c r="R55" s="16" t="n">
        <v>0.5</v>
      </c>
    </row>
    <row r="56" customFormat="false" ht="15" hidden="false" customHeight="false" outlineLevel="0" collapsed="false">
      <c r="A56" s="13" t="s">
        <v>34</v>
      </c>
      <c r="B56" s="17" t="n">
        <v>0.247</v>
      </c>
      <c r="C56" s="17" t="n">
        <v>0.753</v>
      </c>
      <c r="D56" s="17" t="n">
        <v>1</v>
      </c>
      <c r="E56" s="5"/>
      <c r="F56" s="23"/>
      <c r="H56" s="5"/>
      <c r="I56" s="13" t="s">
        <v>57</v>
      </c>
      <c r="J56" s="14" t="n">
        <v>52131</v>
      </c>
      <c r="K56" s="16" t="n">
        <v>0.002</v>
      </c>
      <c r="L56" s="14" t="n">
        <v>112370</v>
      </c>
      <c r="M56" s="16" t="n">
        <v>0.004</v>
      </c>
      <c r="N56" s="14" t="n">
        <v>164501</v>
      </c>
      <c r="O56" s="14" t="n">
        <v>164501</v>
      </c>
      <c r="P56" s="18" t="n">
        <v>3</v>
      </c>
      <c r="Q56" s="16" t="n">
        <v>0.317</v>
      </c>
      <c r="R56" s="16" t="n">
        <v>0.683</v>
      </c>
    </row>
    <row r="57" customFormat="false" ht="15" hidden="false" customHeight="false" outlineLevel="0" collapsed="false">
      <c r="A57" s="13" t="s">
        <v>35</v>
      </c>
      <c r="B57" s="17" t="n">
        <v>0.4896</v>
      </c>
      <c r="C57" s="17" t="n">
        <v>0.5104</v>
      </c>
      <c r="D57" s="17" t="n">
        <v>1</v>
      </c>
      <c r="E57" s="5"/>
      <c r="F57" s="23"/>
      <c r="H57" s="5"/>
      <c r="I57" s="13" t="s">
        <v>58</v>
      </c>
      <c r="J57" s="14" t="n">
        <v>111470</v>
      </c>
      <c r="K57" s="16" t="n">
        <v>0.005</v>
      </c>
      <c r="L57" s="14" t="n">
        <v>111470</v>
      </c>
      <c r="M57" s="16" t="n">
        <v>0.004</v>
      </c>
      <c r="N57" s="14" t="n">
        <v>222940</v>
      </c>
      <c r="O57" s="14" t="n">
        <v>222940</v>
      </c>
      <c r="P57" s="18" t="n">
        <v>0</v>
      </c>
      <c r="Q57" s="16" t="n">
        <v>0.5</v>
      </c>
      <c r="R57" s="16" t="n">
        <v>0.5</v>
      </c>
    </row>
    <row r="58" customFormat="false" ht="15" hidden="false" customHeight="false" outlineLevel="0" collapsed="false">
      <c r="A58" s="13" t="s">
        <v>36</v>
      </c>
      <c r="B58" s="17" t="n">
        <v>0.318</v>
      </c>
      <c r="C58" s="17" t="n">
        <v>0.682</v>
      </c>
      <c r="D58" s="17" t="n">
        <v>1</v>
      </c>
      <c r="E58" s="5"/>
      <c r="F58" s="23"/>
      <c r="H58" s="5"/>
      <c r="I58" s="13" t="s">
        <v>59</v>
      </c>
      <c r="J58" s="14" t="n">
        <v>101916</v>
      </c>
      <c r="K58" s="16" t="n">
        <v>0.004</v>
      </c>
      <c r="L58" s="14" t="n">
        <v>128208</v>
      </c>
      <c r="M58" s="16" t="n">
        <v>0.004</v>
      </c>
      <c r="N58" s="14" t="n">
        <v>230124</v>
      </c>
      <c r="O58" s="14" t="n">
        <v>230124</v>
      </c>
      <c r="P58" s="18" t="n">
        <v>1</v>
      </c>
      <c r="Q58" s="16" t="n">
        <v>0.443</v>
      </c>
      <c r="R58" s="16" t="n">
        <v>0.557</v>
      </c>
    </row>
    <row r="59" customFormat="false" ht="15" hidden="false" customHeight="false" outlineLevel="0" collapsed="false">
      <c r="A59" s="13" t="s">
        <v>39</v>
      </c>
      <c r="B59" s="17" t="n">
        <v>0.2118</v>
      </c>
      <c r="C59" s="17" t="n">
        <v>0.7882</v>
      </c>
      <c r="D59" s="17" t="n">
        <v>1</v>
      </c>
      <c r="E59" s="5"/>
      <c r="F59" s="23"/>
      <c r="H59" s="5"/>
      <c r="I59" s="13" t="s">
        <v>60</v>
      </c>
      <c r="J59" s="14" t="n">
        <v>0</v>
      </c>
      <c r="K59" s="16" t="n">
        <v>0</v>
      </c>
      <c r="L59" s="14" t="n">
        <v>0</v>
      </c>
      <c r="M59" s="16" t="n">
        <v>0</v>
      </c>
      <c r="N59" s="14" t="n">
        <v>0</v>
      </c>
      <c r="O59" s="14" t="n">
        <v>0</v>
      </c>
      <c r="P59" s="18" t="n">
        <v>0</v>
      </c>
      <c r="Q59" s="22" t="s">
        <v>111</v>
      </c>
      <c r="R59" s="22" t="s">
        <v>111</v>
      </c>
    </row>
    <row r="60" customFormat="false" ht="15" hidden="false" customHeight="false" outlineLevel="0" collapsed="false">
      <c r="A60" s="13" t="s">
        <v>112</v>
      </c>
      <c r="B60" s="17" t="n">
        <v>0.9382</v>
      </c>
      <c r="C60" s="17" t="n">
        <v>0.0618</v>
      </c>
      <c r="D60" s="17" t="n">
        <v>1</v>
      </c>
      <c r="E60" s="5"/>
      <c r="F60" s="23"/>
      <c r="H60" s="5"/>
      <c r="I60" s="13" t="s">
        <v>42</v>
      </c>
      <c r="J60" s="14" t="n">
        <v>22483</v>
      </c>
      <c r="K60" s="16" t="n">
        <v>0.001</v>
      </c>
      <c r="L60" s="14" t="n">
        <v>48463</v>
      </c>
      <c r="M60" s="16" t="n">
        <v>0.002</v>
      </c>
      <c r="N60" s="14" t="n">
        <v>70946</v>
      </c>
      <c r="O60" s="14" t="n">
        <v>70946</v>
      </c>
      <c r="P60" s="18" t="n">
        <v>3</v>
      </c>
      <c r="Q60" s="16" t="n">
        <v>0.317</v>
      </c>
      <c r="R60" s="16" t="n">
        <v>0.683</v>
      </c>
    </row>
    <row r="61" customFormat="false" ht="15" hidden="false" customHeight="false" outlineLevel="0" collapsed="false">
      <c r="F61" s="23"/>
      <c r="H61" s="5"/>
      <c r="I61" s="13" t="s">
        <v>44</v>
      </c>
      <c r="J61" s="14" t="n">
        <v>875</v>
      </c>
      <c r="K61" s="16" t="n">
        <v>0</v>
      </c>
      <c r="L61" s="14" t="n">
        <v>875</v>
      </c>
      <c r="M61" s="16" t="n">
        <v>0</v>
      </c>
      <c r="N61" s="14" t="n">
        <v>1750</v>
      </c>
      <c r="O61" s="14" t="n">
        <v>1750</v>
      </c>
      <c r="P61" s="18" t="n">
        <v>0</v>
      </c>
      <c r="Q61" s="16" t="n">
        <v>0.5</v>
      </c>
      <c r="R61" s="16" t="n">
        <v>0.5</v>
      </c>
    </row>
    <row r="62" customFormat="false" ht="15" hidden="false" customHeight="false" outlineLevel="0" collapsed="false">
      <c r="A62" s="30" t="s">
        <v>2</v>
      </c>
      <c r="B62" s="30" t="s">
        <v>92</v>
      </c>
      <c r="C62" s="30" t="s">
        <v>93</v>
      </c>
      <c r="D62" s="30" t="s">
        <v>94</v>
      </c>
      <c r="E62" s="30" t="s">
        <v>115</v>
      </c>
      <c r="F62" s="23"/>
      <c r="H62" s="5"/>
      <c r="I62" s="13" t="s">
        <v>61</v>
      </c>
      <c r="J62" s="14" t="n">
        <v>3901</v>
      </c>
      <c r="K62" s="16" t="n">
        <v>0</v>
      </c>
      <c r="L62" s="14" t="n">
        <v>3901</v>
      </c>
      <c r="M62" s="16" t="n">
        <v>0</v>
      </c>
      <c r="N62" s="14" t="n">
        <v>7801</v>
      </c>
      <c r="O62" s="14" t="n">
        <v>7801</v>
      </c>
      <c r="P62" s="18" t="n">
        <v>0</v>
      </c>
      <c r="Q62" s="16" t="n">
        <v>0.5</v>
      </c>
      <c r="R62" s="16" t="n">
        <v>0.5</v>
      </c>
    </row>
    <row r="63" customFormat="false" ht="15" hidden="false" customHeight="false" outlineLevel="0" collapsed="false">
      <c r="A63" s="31" t="s">
        <v>116</v>
      </c>
      <c r="B63" s="32" t="n">
        <v>446402</v>
      </c>
      <c r="C63" s="32" t="n">
        <v>511628</v>
      </c>
      <c r="D63" s="32" t="n">
        <v>485270</v>
      </c>
      <c r="E63" s="33"/>
      <c r="F63" s="23"/>
      <c r="H63" s="5"/>
      <c r="I63" s="13" t="s">
        <v>62</v>
      </c>
      <c r="J63" s="14" t="n">
        <v>27012</v>
      </c>
      <c r="K63" s="16" t="n">
        <v>0.001</v>
      </c>
      <c r="L63" s="14" t="n">
        <v>27012</v>
      </c>
      <c r="M63" s="16" t="n">
        <v>0.001</v>
      </c>
      <c r="N63" s="14" t="n">
        <v>54023</v>
      </c>
      <c r="O63" s="14" t="n">
        <v>54023</v>
      </c>
      <c r="P63" s="18" t="n">
        <v>0</v>
      </c>
      <c r="Q63" s="16" t="n">
        <v>0.5</v>
      </c>
      <c r="R63" s="16" t="n">
        <v>0.5</v>
      </c>
    </row>
    <row r="64" customFormat="false" ht="15" hidden="false" customHeight="false" outlineLevel="0" collapsed="false">
      <c r="A64" s="31" t="s">
        <v>117</v>
      </c>
      <c r="B64" s="34" t="n">
        <v>105.89</v>
      </c>
      <c r="C64" s="34" t="n">
        <v>64.69</v>
      </c>
      <c r="D64" s="34" t="n">
        <v>78.16</v>
      </c>
      <c r="E64" s="33"/>
      <c r="F64" s="23"/>
      <c r="H64" s="5"/>
      <c r="I64" s="13" t="s">
        <v>63</v>
      </c>
      <c r="J64" s="14" t="n">
        <v>58500</v>
      </c>
      <c r="K64" s="16" t="n">
        <v>0.003</v>
      </c>
      <c r="L64" s="14" t="n">
        <v>58500</v>
      </c>
      <c r="M64" s="16" t="n">
        <v>0.002</v>
      </c>
      <c r="N64" s="14" t="n">
        <v>117000</v>
      </c>
      <c r="O64" s="14" t="n">
        <v>117000</v>
      </c>
      <c r="P64" s="18" t="n">
        <v>0</v>
      </c>
      <c r="Q64" s="16" t="n">
        <v>0.5</v>
      </c>
      <c r="R64" s="16" t="n">
        <v>0.5</v>
      </c>
    </row>
    <row r="65" customFormat="false" ht="15" hidden="false" customHeight="false" outlineLevel="0" collapsed="false">
      <c r="A65" s="31" t="s">
        <v>118</v>
      </c>
      <c r="B65" s="34" t="n">
        <v>92.73</v>
      </c>
      <c r="C65" s="34" t="n">
        <v>51.52</v>
      </c>
      <c r="D65" s="5"/>
      <c r="E65" s="33"/>
      <c r="F65" s="23"/>
      <c r="H65" s="5"/>
      <c r="I65" s="13" t="s">
        <v>64</v>
      </c>
      <c r="J65" s="14" t="n">
        <v>48486</v>
      </c>
      <c r="K65" s="16" t="n">
        <v>0.002</v>
      </c>
      <c r="L65" s="14" t="n">
        <v>104514</v>
      </c>
      <c r="M65" s="16" t="n">
        <v>0.004</v>
      </c>
      <c r="N65" s="14" t="n">
        <v>153000</v>
      </c>
      <c r="O65" s="14" t="n">
        <v>153000</v>
      </c>
      <c r="P65" s="18" t="n">
        <v>3</v>
      </c>
      <c r="Q65" s="16" t="n">
        <v>0.317</v>
      </c>
      <c r="R65" s="16" t="n">
        <v>0.683</v>
      </c>
    </row>
    <row r="66" customFormat="false" ht="15" hidden="false" customHeight="false" outlineLevel="0" collapsed="false">
      <c r="A66" s="31" t="s">
        <v>119</v>
      </c>
      <c r="B66" s="32" t="n">
        <v>367972</v>
      </c>
      <c r="C66" s="32" t="n">
        <v>357353</v>
      </c>
      <c r="D66" s="32" t="n">
        <v>361644</v>
      </c>
      <c r="E66" s="33"/>
      <c r="F66" s="23"/>
      <c r="H66" s="5"/>
      <c r="I66" s="13" t="s">
        <v>38</v>
      </c>
      <c r="J66" s="14" t="n">
        <v>23538</v>
      </c>
      <c r="K66" s="16" t="n">
        <v>0.001</v>
      </c>
      <c r="L66" s="14" t="n">
        <v>23538</v>
      </c>
      <c r="M66" s="16" t="n">
        <v>0.001</v>
      </c>
      <c r="N66" s="14" t="n">
        <v>47075</v>
      </c>
      <c r="O66" s="14" t="n">
        <v>47075</v>
      </c>
      <c r="P66" s="18" t="n">
        <v>0</v>
      </c>
      <c r="Q66" s="16" t="n">
        <v>0.5</v>
      </c>
      <c r="R66" s="16" t="n">
        <v>0.5</v>
      </c>
    </row>
    <row r="67" customFormat="false" ht="15" hidden="false" customHeight="false" outlineLevel="0" collapsed="false">
      <c r="A67" s="31" t="s">
        <v>120</v>
      </c>
      <c r="B67" s="32" t="n">
        <v>425030</v>
      </c>
      <c r="C67" s="32" t="n">
        <v>420148</v>
      </c>
      <c r="D67" s="32" t="n">
        <v>422121</v>
      </c>
      <c r="E67" s="33"/>
      <c r="F67" s="23"/>
      <c r="H67" s="5"/>
      <c r="I67" s="13" t="s">
        <v>65</v>
      </c>
      <c r="J67" s="14" t="n">
        <v>55000</v>
      </c>
      <c r="K67" s="16" t="n">
        <v>0.002</v>
      </c>
      <c r="L67" s="14" t="n">
        <v>55000</v>
      </c>
      <c r="M67" s="16" t="n">
        <v>0.002</v>
      </c>
      <c r="N67" s="14" t="n">
        <v>110000</v>
      </c>
      <c r="O67" s="14" t="n">
        <v>110000</v>
      </c>
      <c r="P67" s="18" t="n">
        <v>0</v>
      </c>
      <c r="Q67" s="16" t="n">
        <v>0.5</v>
      </c>
      <c r="R67" s="16" t="n">
        <v>0.5</v>
      </c>
    </row>
    <row r="68" customFormat="false" ht="15" hidden="false" customHeight="false" outlineLevel="0" collapsed="false">
      <c r="A68" s="13" t="s">
        <v>121</v>
      </c>
      <c r="B68" s="14" t="n">
        <v>35249720</v>
      </c>
      <c r="C68" s="14" t="n">
        <v>39847192</v>
      </c>
      <c r="D68" s="14" t="n">
        <v>74561534</v>
      </c>
      <c r="E68" s="33"/>
      <c r="F68" s="23"/>
      <c r="H68" s="5"/>
      <c r="I68" s="13" t="s">
        <v>66</v>
      </c>
      <c r="J68" s="14" t="n">
        <v>6545</v>
      </c>
      <c r="K68" s="16" t="n">
        <v>0</v>
      </c>
      <c r="L68" s="14" t="n">
        <v>14108</v>
      </c>
      <c r="M68" s="16" t="n">
        <v>0</v>
      </c>
      <c r="N68" s="14" t="n">
        <v>20653</v>
      </c>
      <c r="O68" s="14" t="n">
        <v>20653</v>
      </c>
      <c r="P68" s="18" t="n">
        <v>3</v>
      </c>
      <c r="Q68" s="16" t="n">
        <v>0.317</v>
      </c>
      <c r="R68" s="16" t="n">
        <v>0.683</v>
      </c>
    </row>
    <row r="69" customFormat="false" ht="15" hidden="false" customHeight="false" outlineLevel="0" collapsed="false">
      <c r="A69" s="13" t="s">
        <v>122</v>
      </c>
      <c r="B69" s="14" t="n">
        <v>22666584</v>
      </c>
      <c r="C69" s="14" t="n">
        <v>28727991</v>
      </c>
      <c r="D69" s="14" t="n">
        <v>51394575</v>
      </c>
      <c r="E69" s="33"/>
      <c r="F69" s="23"/>
      <c r="H69" s="5"/>
      <c r="I69" s="13" t="s">
        <v>67</v>
      </c>
      <c r="J69" s="14" t="n">
        <v>9714</v>
      </c>
      <c r="K69" s="16" t="n">
        <v>0</v>
      </c>
      <c r="L69" s="14" t="n">
        <v>14586</v>
      </c>
      <c r="M69" s="16" t="n">
        <v>0.001</v>
      </c>
      <c r="N69" s="14" t="n">
        <v>24300</v>
      </c>
      <c r="O69" s="14" t="n">
        <v>24300</v>
      </c>
      <c r="P69" s="18" t="n">
        <v>2</v>
      </c>
      <c r="Q69" s="16" t="n">
        <v>0.4</v>
      </c>
      <c r="R69" s="16" t="n">
        <v>0.6</v>
      </c>
    </row>
    <row r="70" customFormat="false" ht="15" hidden="false" customHeight="false" outlineLevel="0" collapsed="false">
      <c r="A70" s="13" t="s">
        <v>123</v>
      </c>
      <c r="B70" s="35" t="n">
        <v>-0.5551</v>
      </c>
      <c r="C70" s="35" t="n">
        <v>-0.3871</v>
      </c>
      <c r="D70" s="35" t="n">
        <v>-0.4508</v>
      </c>
      <c r="E70" s="33" t="s">
        <v>124</v>
      </c>
      <c r="F70" s="23"/>
      <c r="H70" s="5"/>
      <c r="I70" s="13" t="s">
        <v>45</v>
      </c>
      <c r="J70" s="14" t="n">
        <v>0</v>
      </c>
      <c r="K70" s="16" t="n">
        <v>0</v>
      </c>
      <c r="L70" s="14" t="n">
        <v>0</v>
      </c>
      <c r="M70" s="16" t="n">
        <v>0</v>
      </c>
      <c r="N70" s="14" t="n">
        <v>0</v>
      </c>
      <c r="O70" s="14" t="n">
        <v>0</v>
      </c>
      <c r="P70" s="18" t="n">
        <v>3</v>
      </c>
      <c r="Q70" s="22" t="s">
        <v>111</v>
      </c>
      <c r="R70" s="22" t="s">
        <v>111</v>
      </c>
    </row>
    <row r="71" customFormat="false" ht="15" hidden="false" customHeight="false" outlineLevel="0" collapsed="false">
      <c r="A71" s="13" t="s">
        <v>125</v>
      </c>
      <c r="B71" s="17" t="n">
        <v>0.9521</v>
      </c>
      <c r="C71" s="17" t="n">
        <v>0.8212</v>
      </c>
      <c r="D71" s="17" t="n">
        <v>0.8699</v>
      </c>
      <c r="E71" s="33" t="s">
        <v>126</v>
      </c>
      <c r="F71" s="23"/>
      <c r="H71" s="5"/>
      <c r="I71" s="13" t="s">
        <v>68</v>
      </c>
      <c r="J71" s="14" t="n">
        <v>0</v>
      </c>
      <c r="K71" s="16" t="n">
        <v>0</v>
      </c>
      <c r="L71" s="14" t="n">
        <v>0</v>
      </c>
      <c r="M71" s="16" t="n">
        <v>0</v>
      </c>
      <c r="N71" s="14" t="n">
        <v>0</v>
      </c>
      <c r="O71" s="14" t="n">
        <v>0</v>
      </c>
      <c r="P71" s="18" t="n">
        <v>3</v>
      </c>
      <c r="Q71" s="22" t="s">
        <v>111</v>
      </c>
      <c r="R71" s="22" t="s">
        <v>111</v>
      </c>
    </row>
    <row r="72" customFormat="false" ht="15" hidden="false" customHeight="false" outlineLevel="0" collapsed="false">
      <c r="A72" s="31" t="s">
        <v>127</v>
      </c>
      <c r="B72" s="17" t="n">
        <v>0.4044</v>
      </c>
      <c r="C72" s="17" t="n">
        <v>0.4772</v>
      </c>
      <c r="D72" s="17" t="n">
        <v>0.4473</v>
      </c>
      <c r="E72" s="36" t="s">
        <v>128</v>
      </c>
      <c r="F72" s="23"/>
      <c r="H72" s="5"/>
      <c r="I72" s="13" t="s">
        <v>69</v>
      </c>
      <c r="J72" s="14" t="n">
        <v>357500</v>
      </c>
      <c r="K72" s="16" t="n">
        <v>0.016</v>
      </c>
      <c r="L72" s="14" t="n">
        <v>357500</v>
      </c>
      <c r="M72" s="16" t="n">
        <v>0.012</v>
      </c>
      <c r="N72" s="14" t="n">
        <v>715000</v>
      </c>
      <c r="O72" s="14" t="n">
        <v>715000</v>
      </c>
      <c r="P72" s="18" t="n">
        <v>0</v>
      </c>
      <c r="Q72" s="16" t="n">
        <v>0.5</v>
      </c>
      <c r="R72" s="16" t="n">
        <v>0.5</v>
      </c>
    </row>
    <row r="73" customFormat="false" ht="15" hidden="false" customHeight="false" outlineLevel="0" collapsed="false">
      <c r="A73" s="13" t="s">
        <v>129</v>
      </c>
      <c r="B73" s="17" t="n">
        <v>1.5551</v>
      </c>
      <c r="C73" s="17" t="n">
        <v>1.3871</v>
      </c>
      <c r="D73" s="17" t="n">
        <v>1.4508</v>
      </c>
      <c r="E73" s="33" t="s">
        <v>130</v>
      </c>
      <c r="F73" s="23"/>
      <c r="H73" s="5"/>
      <c r="I73" s="13" t="s">
        <v>70</v>
      </c>
      <c r="J73" s="14" t="n">
        <v>2550</v>
      </c>
      <c r="K73" s="16" t="n">
        <v>0</v>
      </c>
      <c r="L73" s="14" t="n">
        <v>2550</v>
      </c>
      <c r="M73" s="16" t="n">
        <v>0</v>
      </c>
      <c r="N73" s="14" t="n">
        <v>5100</v>
      </c>
      <c r="O73" s="14" t="n">
        <v>5100</v>
      </c>
      <c r="P73" s="18" t="n">
        <v>0</v>
      </c>
      <c r="Q73" s="16" t="n">
        <v>0.5</v>
      </c>
      <c r="R73" s="16" t="n">
        <v>0.5</v>
      </c>
    </row>
    <row r="74" customFormat="false" ht="15" hidden="false" customHeight="false" outlineLevel="0" collapsed="false">
      <c r="A74" s="13" t="s">
        <v>131</v>
      </c>
      <c r="B74" s="14" t="n">
        <v>332874</v>
      </c>
      <c r="C74" s="14" t="n">
        <v>615977</v>
      </c>
      <c r="D74" s="14" t="n">
        <v>953979</v>
      </c>
      <c r="E74" s="36" t="s">
        <v>132</v>
      </c>
      <c r="F74" s="23"/>
      <c r="H74" s="5"/>
      <c r="I74" s="13" t="s">
        <v>40</v>
      </c>
      <c r="J74" s="14" t="n">
        <v>0</v>
      </c>
      <c r="K74" s="16" t="n">
        <v>0</v>
      </c>
      <c r="L74" s="14" t="n">
        <v>0</v>
      </c>
      <c r="M74" s="16" t="n">
        <v>0</v>
      </c>
      <c r="N74" s="14" t="n">
        <v>0</v>
      </c>
      <c r="O74" s="14" t="n">
        <v>0</v>
      </c>
      <c r="P74" s="18" t="n">
        <v>3</v>
      </c>
      <c r="Q74" s="22" t="s">
        <v>111</v>
      </c>
      <c r="R74" s="22" t="s">
        <v>111</v>
      </c>
    </row>
    <row r="75" customFormat="false" ht="15" hidden="false" customHeight="false" outlineLevel="0" collapsed="false">
      <c r="A75" s="13" t="s">
        <v>133</v>
      </c>
      <c r="B75" s="35" t="n">
        <v>-0.2847</v>
      </c>
      <c r="C75" s="35" t="n">
        <v>-0.2563</v>
      </c>
      <c r="D75" s="35" t="n">
        <v>-0.2688</v>
      </c>
      <c r="E75" s="36" t="s">
        <v>134</v>
      </c>
      <c r="F75" s="23"/>
      <c r="H75" s="5"/>
      <c r="I75" s="13" t="s">
        <v>48</v>
      </c>
      <c r="J75" s="14" t="n">
        <v>111631</v>
      </c>
      <c r="K75" s="16" t="n">
        <v>0.005</v>
      </c>
      <c r="L75" s="14" t="n">
        <v>111631</v>
      </c>
      <c r="M75" s="16" t="n">
        <v>0.004</v>
      </c>
      <c r="N75" s="14" t="n">
        <v>223261</v>
      </c>
      <c r="O75" s="14" t="n">
        <v>223261</v>
      </c>
      <c r="P75" s="18" t="n">
        <v>0</v>
      </c>
      <c r="Q75" s="16" t="n">
        <v>0.5</v>
      </c>
      <c r="R75" s="16" t="n">
        <v>0.5</v>
      </c>
    </row>
    <row r="76" customFormat="false" ht="15" hidden="false" customHeight="false" outlineLevel="0" collapsed="false">
      <c r="F76" s="23"/>
      <c r="H76" s="5"/>
      <c r="I76" s="13" t="s">
        <v>71</v>
      </c>
      <c r="J76" s="14" t="n">
        <v>115500</v>
      </c>
      <c r="K76" s="16" t="n">
        <v>0.005</v>
      </c>
      <c r="L76" s="14" t="n">
        <v>115500</v>
      </c>
      <c r="M76" s="16" t="n">
        <v>0.004</v>
      </c>
      <c r="N76" s="14" t="n">
        <v>231000</v>
      </c>
      <c r="O76" s="14" t="n">
        <v>231000</v>
      </c>
      <c r="P76" s="18" t="n">
        <v>0</v>
      </c>
      <c r="Q76" s="16" t="n">
        <v>0.5</v>
      </c>
      <c r="R76" s="16" t="n">
        <v>0.5</v>
      </c>
    </row>
    <row r="77" customFormat="false" ht="15" hidden="false" customHeight="false" outlineLevel="0" collapsed="false">
      <c r="F77" s="23"/>
      <c r="H77" s="5"/>
      <c r="I77" s="31"/>
      <c r="J77" s="14" t="n">
        <v>0</v>
      </c>
      <c r="K77" s="16" t="n">
        <v>0</v>
      </c>
      <c r="L77" s="14" t="n">
        <v>0</v>
      </c>
      <c r="M77" s="16" t="n">
        <v>0</v>
      </c>
      <c r="N77" s="14" t="n">
        <v>0</v>
      </c>
      <c r="O77" s="14" t="n">
        <v>0</v>
      </c>
      <c r="P77" s="18" t="n">
        <v>0</v>
      </c>
      <c r="Q77" s="22" t="s">
        <v>111</v>
      </c>
      <c r="R77" s="22" t="s">
        <v>111</v>
      </c>
    </row>
    <row r="78" customFormat="false" ht="15" hidden="false" customHeight="false" outlineLevel="0" collapsed="false">
      <c r="F78" s="23"/>
      <c r="H78" s="21" t="s">
        <v>27</v>
      </c>
      <c r="I78" s="9" t="s">
        <v>72</v>
      </c>
      <c r="J78" s="11" t="n">
        <v>4595939</v>
      </c>
      <c r="K78" s="19" t="n">
        <v>0.203</v>
      </c>
      <c r="L78" s="11" t="n">
        <v>6809956</v>
      </c>
      <c r="M78" s="19" t="n">
        <v>0.237</v>
      </c>
      <c r="N78" s="11" t="n">
        <v>11405895</v>
      </c>
      <c r="O78" s="11" t="n">
        <v>11405895</v>
      </c>
      <c r="P78" s="20"/>
      <c r="Q78" s="19" t="n">
        <v>0.403</v>
      </c>
      <c r="R78" s="19" t="n">
        <v>0.597</v>
      </c>
    </row>
    <row r="79" customFormat="false" ht="15" hidden="false" customHeight="false" outlineLevel="0" collapsed="false">
      <c r="F79" s="23"/>
      <c r="H79" s="21"/>
      <c r="I79" s="9" t="s">
        <v>73</v>
      </c>
      <c r="J79" s="28" t="n">
        <v>-5731950</v>
      </c>
      <c r="K79" s="29" t="n">
        <v>-0.253</v>
      </c>
      <c r="L79" s="28" t="n">
        <v>-6457352</v>
      </c>
      <c r="M79" s="29" t="n">
        <v>-0.225</v>
      </c>
      <c r="N79" s="28" t="n">
        <v>-12189302</v>
      </c>
      <c r="O79" s="28" t="n">
        <v>-4597059</v>
      </c>
      <c r="P79" s="20"/>
      <c r="Q79" s="19" t="n">
        <v>0.47</v>
      </c>
      <c r="R79" s="19" t="n">
        <v>0.53</v>
      </c>
    </row>
    <row r="80" customFormat="false" ht="15" hidden="false" customHeight="false" outlineLevel="0" collapsed="false">
      <c r="F80" s="23"/>
      <c r="H80" s="5"/>
      <c r="I80" s="13" t="s">
        <v>74</v>
      </c>
      <c r="J80" s="14" t="n">
        <v>0</v>
      </c>
      <c r="K80" s="16" t="n">
        <v>0</v>
      </c>
      <c r="L80" s="14" t="n">
        <v>0</v>
      </c>
      <c r="M80" s="16" t="n">
        <v>0</v>
      </c>
      <c r="N80" s="14" t="n">
        <v>0</v>
      </c>
      <c r="O80" s="14" t="n">
        <v>0</v>
      </c>
      <c r="P80" s="18" t="n">
        <v>1</v>
      </c>
      <c r="Q80" s="22" t="s">
        <v>111</v>
      </c>
      <c r="R80" s="22" t="s">
        <v>111</v>
      </c>
    </row>
    <row r="81" customFormat="false" ht="15" hidden="false" customHeight="false" outlineLevel="0" collapsed="false">
      <c r="F81" s="23"/>
      <c r="H81" s="5"/>
      <c r="I81" s="13" t="s">
        <v>75</v>
      </c>
      <c r="J81" s="14" t="n">
        <v>0</v>
      </c>
      <c r="K81" s="16" t="n">
        <v>0</v>
      </c>
      <c r="L81" s="14" t="n">
        <v>0</v>
      </c>
      <c r="M81" s="16" t="n">
        <v>0</v>
      </c>
      <c r="N81" s="14" t="n">
        <v>0</v>
      </c>
      <c r="O81" s="14" t="n">
        <v>0</v>
      </c>
      <c r="P81" s="18" t="n">
        <v>1</v>
      </c>
      <c r="Q81" s="22" t="s">
        <v>111</v>
      </c>
      <c r="R81" s="22" t="s">
        <v>111</v>
      </c>
    </row>
    <row r="82" customFormat="false" ht="15" hidden="false" customHeight="false" outlineLevel="0" collapsed="false">
      <c r="F82" s="23"/>
      <c r="H82" s="5"/>
      <c r="I82" s="13" t="s">
        <v>76</v>
      </c>
      <c r="J82" s="14" t="n">
        <v>39859</v>
      </c>
      <c r="K82" s="16" t="n">
        <v>0.002</v>
      </c>
      <c r="L82" s="14" t="n">
        <v>50141</v>
      </c>
      <c r="M82" s="16" t="n">
        <v>0.002</v>
      </c>
      <c r="N82" s="14" t="n">
        <v>90000</v>
      </c>
      <c r="O82" s="14" t="n">
        <v>90000</v>
      </c>
      <c r="P82" s="18" t="n">
        <v>1</v>
      </c>
      <c r="Q82" s="16" t="n">
        <v>0.443</v>
      </c>
      <c r="R82" s="16" t="n">
        <v>0.557</v>
      </c>
    </row>
    <row r="83" customFormat="false" ht="15" hidden="false" customHeight="false" outlineLevel="0" collapsed="false">
      <c r="F83" s="23"/>
      <c r="H83" s="5"/>
      <c r="I83" s="13" t="s">
        <v>77</v>
      </c>
      <c r="J83" s="14" t="n">
        <v>9972</v>
      </c>
      <c r="K83" s="16" t="n">
        <v>0</v>
      </c>
      <c r="L83" s="14" t="n">
        <v>12544</v>
      </c>
      <c r="M83" s="16" t="n">
        <v>0</v>
      </c>
      <c r="N83" s="14" t="n">
        <v>22516</v>
      </c>
      <c r="O83" s="14" t="n">
        <v>22516</v>
      </c>
      <c r="P83" s="18" t="n">
        <v>1</v>
      </c>
      <c r="Q83" s="16" t="n">
        <v>0.443</v>
      </c>
      <c r="R83" s="16" t="n">
        <v>0.557</v>
      </c>
    </row>
    <row r="84" customFormat="false" ht="15" hidden="false" customHeight="false" outlineLevel="0" collapsed="false">
      <c r="F84" s="23"/>
      <c r="H84" s="5"/>
      <c r="I84" s="31"/>
      <c r="J84" s="14" t="n">
        <v>0</v>
      </c>
      <c r="K84" s="16" t="n">
        <v>0</v>
      </c>
      <c r="L84" s="14" t="n">
        <v>0</v>
      </c>
      <c r="M84" s="16" t="n">
        <v>0</v>
      </c>
      <c r="N84" s="14" t="n">
        <v>0</v>
      </c>
      <c r="O84" s="14" t="n">
        <v>0</v>
      </c>
      <c r="P84" s="18" t="n">
        <v>1</v>
      </c>
      <c r="Q84" s="22" t="s">
        <v>111</v>
      </c>
      <c r="R84" s="22" t="s">
        <v>111</v>
      </c>
    </row>
    <row r="85" customFormat="false" ht="15" hidden="false" customHeight="false" outlineLevel="0" collapsed="false">
      <c r="F85" s="23"/>
      <c r="H85" s="21"/>
      <c r="I85" s="9" t="s">
        <v>78</v>
      </c>
      <c r="J85" s="11" t="n">
        <v>49830</v>
      </c>
      <c r="K85" s="19" t="n">
        <v>0.002</v>
      </c>
      <c r="L85" s="11" t="n">
        <v>62686</v>
      </c>
      <c r="M85" s="19" t="n">
        <v>0.002</v>
      </c>
      <c r="N85" s="11" t="n">
        <v>112516</v>
      </c>
      <c r="O85" s="11" t="n">
        <v>112516</v>
      </c>
      <c r="P85" s="20"/>
      <c r="Q85" s="19" t="n">
        <v>0.443</v>
      </c>
      <c r="R85" s="19" t="n">
        <v>0.557</v>
      </c>
    </row>
    <row r="86" customFormat="false" ht="15" hidden="false" customHeight="false" outlineLevel="0" collapsed="false">
      <c r="F86" s="23"/>
      <c r="H86" s="5"/>
      <c r="I86" s="13" t="s">
        <v>79</v>
      </c>
      <c r="J86" s="14" t="n">
        <v>760465</v>
      </c>
      <c r="K86" s="16" t="n">
        <v>0.034</v>
      </c>
      <c r="L86" s="14" t="n">
        <v>956645</v>
      </c>
      <c r="M86" s="16" t="n">
        <v>0.033</v>
      </c>
      <c r="N86" s="14" t="n">
        <v>1717110</v>
      </c>
      <c r="O86" s="14" t="n">
        <v>1717110</v>
      </c>
      <c r="P86" s="18" t="n">
        <v>1</v>
      </c>
      <c r="Q86" s="16" t="n">
        <v>0.443</v>
      </c>
      <c r="R86" s="16" t="n">
        <v>0.557</v>
      </c>
    </row>
    <row r="87" customFormat="false" ht="15" hidden="false" customHeight="false" outlineLevel="0" collapsed="false">
      <c r="F87" s="23"/>
      <c r="H87" s="5"/>
      <c r="I87" s="13" t="s">
        <v>80</v>
      </c>
      <c r="J87" s="14" t="n">
        <v>9674</v>
      </c>
      <c r="K87" s="16" t="n">
        <v>0</v>
      </c>
      <c r="L87" s="14" t="n">
        <v>12169</v>
      </c>
      <c r="M87" s="16" t="n">
        <v>0</v>
      </c>
      <c r="N87" s="14" t="n">
        <v>21843</v>
      </c>
      <c r="O87" s="14" t="n">
        <v>21843</v>
      </c>
      <c r="P87" s="18" t="n">
        <v>1</v>
      </c>
      <c r="Q87" s="16" t="n">
        <v>0.443</v>
      </c>
      <c r="R87" s="16" t="n">
        <v>0.557</v>
      </c>
    </row>
    <row r="88" customFormat="false" ht="15" hidden="false" customHeight="false" outlineLevel="0" collapsed="false">
      <c r="F88" s="23"/>
      <c r="H88" s="5"/>
      <c r="I88" s="13" t="s">
        <v>62</v>
      </c>
      <c r="J88" s="14" t="n">
        <v>0</v>
      </c>
      <c r="K88" s="16" t="n">
        <v>0</v>
      </c>
      <c r="L88" s="14" t="n">
        <v>0</v>
      </c>
      <c r="M88" s="16" t="n">
        <v>0</v>
      </c>
      <c r="N88" s="14" t="n">
        <v>0</v>
      </c>
      <c r="O88" s="14" t="n">
        <v>0</v>
      </c>
      <c r="P88" s="18" t="n">
        <v>1</v>
      </c>
      <c r="Q88" s="22" t="s">
        <v>111</v>
      </c>
      <c r="R88" s="22" t="s">
        <v>111</v>
      </c>
    </row>
    <row r="89" customFormat="false" ht="15" hidden="false" customHeight="false" outlineLevel="0" collapsed="false">
      <c r="F89" s="23"/>
      <c r="H89" s="5"/>
      <c r="I89" s="13" t="s">
        <v>81</v>
      </c>
      <c r="J89" s="14" t="n">
        <v>0</v>
      </c>
      <c r="K89" s="16" t="n">
        <v>0</v>
      </c>
      <c r="L89" s="14" t="n">
        <v>0</v>
      </c>
      <c r="M89" s="16" t="n">
        <v>0</v>
      </c>
      <c r="N89" s="14" t="n">
        <v>0</v>
      </c>
      <c r="O89" s="14" t="n">
        <v>0</v>
      </c>
      <c r="P89" s="18" t="n">
        <v>1</v>
      </c>
      <c r="Q89" s="22" t="s">
        <v>111</v>
      </c>
      <c r="R89" s="22" t="s">
        <v>111</v>
      </c>
    </row>
    <row r="90" customFormat="false" ht="15" hidden="false" customHeight="false" outlineLevel="0" collapsed="false">
      <c r="F90" s="23"/>
      <c r="H90" s="21" t="s">
        <v>27</v>
      </c>
      <c r="I90" s="9" t="s">
        <v>82</v>
      </c>
      <c r="J90" s="11" t="n">
        <v>770138</v>
      </c>
      <c r="K90" s="19" t="n">
        <v>0.034</v>
      </c>
      <c r="L90" s="11" t="n">
        <v>968815</v>
      </c>
      <c r="M90" s="19" t="n">
        <v>0.034</v>
      </c>
      <c r="N90" s="11" t="n">
        <v>1738953</v>
      </c>
      <c r="O90" s="11" t="n">
        <v>1738953</v>
      </c>
      <c r="P90" s="20"/>
      <c r="Q90" s="19" t="n">
        <v>0.443</v>
      </c>
      <c r="R90" s="19" t="n">
        <v>0.557</v>
      </c>
    </row>
    <row r="91" customFormat="false" ht="15" hidden="false" customHeight="false" outlineLevel="0" collapsed="false">
      <c r="F91" s="23"/>
      <c r="H91" s="21"/>
      <c r="I91" s="9" t="s">
        <v>83</v>
      </c>
      <c r="J91" s="28" t="n">
        <v>-6452258</v>
      </c>
      <c r="K91" s="29" t="n">
        <v>-0.285</v>
      </c>
      <c r="L91" s="28" t="n">
        <v>-7363481</v>
      </c>
      <c r="M91" s="29" t="n">
        <v>-0.256</v>
      </c>
      <c r="N91" s="28" t="n">
        <v>-13815739</v>
      </c>
      <c r="O91" s="28" t="n">
        <v>-6223496</v>
      </c>
      <c r="P91" s="20"/>
      <c r="Q91" s="19" t="n">
        <v>0.467</v>
      </c>
      <c r="R91" s="19" t="n">
        <v>0.533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3"/>
    <col collapsed="false" customWidth="true" hidden="false" outlineLevel="0" max="6" min="6" style="0" width="6"/>
    <col collapsed="false" customWidth="true" hidden="false" outlineLevel="0" max="7" min="7" style="0" width="3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5" min="14" style="0" width="13"/>
    <col collapsed="false" customWidth="true" hidden="false" outlineLevel="0" max="16" min="16" style="0" width="6"/>
    <col collapsed="false" customWidth="true" hidden="false" outlineLevel="0" max="18" min="17" style="0" width="9"/>
  </cols>
  <sheetData>
    <row r="1" customFormat="false" ht="19.4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2" t="s">
        <v>91</v>
      </c>
      <c r="B4" s="12" t="s">
        <v>92</v>
      </c>
      <c r="C4" s="12" t="s">
        <v>93</v>
      </c>
      <c r="D4" s="12" t="s">
        <v>94</v>
      </c>
      <c r="E4" s="12" t="s">
        <v>95</v>
      </c>
      <c r="F4" s="12" t="s">
        <v>96</v>
      </c>
      <c r="H4" s="12"/>
      <c r="I4" s="12" t="s">
        <v>2</v>
      </c>
      <c r="J4" s="12" t="s">
        <v>92</v>
      </c>
      <c r="K4" s="12" t="s">
        <v>97</v>
      </c>
      <c r="L4" s="12" t="s">
        <v>93</v>
      </c>
      <c r="M4" s="12" t="s">
        <v>97</v>
      </c>
      <c r="N4" s="12" t="s">
        <v>98</v>
      </c>
      <c r="O4" s="12" t="s">
        <v>95</v>
      </c>
      <c r="P4" s="12" t="s">
        <v>96</v>
      </c>
      <c r="Q4" s="12" t="s">
        <v>99</v>
      </c>
      <c r="R4" s="12" t="s">
        <v>100</v>
      </c>
    </row>
    <row r="5" customFormat="false" ht="15" hidden="false" customHeight="false" outlineLevel="0" collapsed="false">
      <c r="A5" s="13" t="s">
        <v>101</v>
      </c>
      <c r="B5" s="14" t="n">
        <v>14132163</v>
      </c>
      <c r="C5" s="14" t="n">
        <v>29161120</v>
      </c>
      <c r="D5" s="14" t="n">
        <v>6889158</v>
      </c>
      <c r="E5" s="14" t="n">
        <v>50182441</v>
      </c>
      <c r="F5" s="15"/>
      <c r="H5" s="5"/>
      <c r="I5" s="13" t="s">
        <v>9</v>
      </c>
      <c r="J5" s="14" t="n">
        <v>15327119</v>
      </c>
      <c r="K5" s="16" t="n">
        <v>1.019</v>
      </c>
      <c r="L5" s="14" t="n">
        <v>34855322</v>
      </c>
      <c r="M5" s="16" t="n">
        <v>0.988</v>
      </c>
      <c r="N5" s="14" t="n">
        <v>50182441</v>
      </c>
      <c r="O5" s="14" t="n">
        <v>50182441</v>
      </c>
      <c r="P5" s="15" t="s">
        <v>102</v>
      </c>
      <c r="Q5" s="16" t="n">
        <v>0.305</v>
      </c>
      <c r="R5" s="16" t="n">
        <v>0.695</v>
      </c>
    </row>
    <row r="6" customFormat="false" ht="15" hidden="false" customHeight="false" outlineLevel="0" collapsed="false">
      <c r="A6" s="13" t="s">
        <v>103</v>
      </c>
      <c r="B6" s="17" t="n">
        <v>0.2816</v>
      </c>
      <c r="C6" s="17" t="n">
        <v>0.5811</v>
      </c>
      <c r="D6" s="17" t="n">
        <v>0.1373</v>
      </c>
      <c r="E6" s="17" t="n">
        <v>1</v>
      </c>
      <c r="F6" s="18" t="n">
        <v>1</v>
      </c>
      <c r="H6" s="5"/>
      <c r="I6" s="13" t="s">
        <v>10</v>
      </c>
      <c r="J6" s="14" t="n">
        <v>98576</v>
      </c>
      <c r="K6" s="16" t="n">
        <v>0.007</v>
      </c>
      <c r="L6" s="14" t="n">
        <v>469734</v>
      </c>
      <c r="M6" s="16" t="n">
        <v>0.013</v>
      </c>
      <c r="N6" s="14" t="n">
        <v>568310</v>
      </c>
      <c r="O6" s="14" t="n">
        <v>568310</v>
      </c>
      <c r="P6" s="18" t="n">
        <v>4</v>
      </c>
      <c r="Q6" s="16" t="n">
        <v>0.173</v>
      </c>
      <c r="R6" s="16" t="n">
        <v>0.827</v>
      </c>
    </row>
    <row r="7" customFormat="false" ht="15" hidden="false" customHeight="false" outlineLevel="0" collapsed="false">
      <c r="A7" s="13" t="s">
        <v>104</v>
      </c>
      <c r="B7" s="14" t="n">
        <v>12</v>
      </c>
      <c r="C7" s="14" t="n">
        <v>10</v>
      </c>
      <c r="D7" s="14" t="n">
        <v>43</v>
      </c>
      <c r="E7" s="14" t="n">
        <v>65</v>
      </c>
      <c r="F7" s="15"/>
      <c r="H7" s="5"/>
      <c r="I7" s="13" t="s">
        <v>11</v>
      </c>
      <c r="J7" s="14" t="n">
        <v>378661</v>
      </c>
      <c r="K7" s="16" t="n">
        <v>0.025</v>
      </c>
      <c r="L7" s="14" t="n">
        <v>51788</v>
      </c>
      <c r="M7" s="16" t="n">
        <v>0.001</v>
      </c>
      <c r="N7" s="14" t="n">
        <v>430449</v>
      </c>
      <c r="O7" s="14" t="n">
        <v>430449</v>
      </c>
      <c r="P7" s="15" t="s">
        <v>102</v>
      </c>
      <c r="Q7" s="16" t="n">
        <v>0.88</v>
      </c>
      <c r="R7" s="16" t="n">
        <v>0.12</v>
      </c>
    </row>
    <row r="8" customFormat="false" ht="15" hidden="false" customHeight="false" outlineLevel="0" collapsed="false">
      <c r="A8" s="13" t="s">
        <v>105</v>
      </c>
      <c r="B8" s="17" t="n">
        <v>0.1846</v>
      </c>
      <c r="C8" s="17" t="n">
        <v>0.1538</v>
      </c>
      <c r="D8" s="17" t="n">
        <v>0.6615</v>
      </c>
      <c r="E8" s="17" t="n">
        <v>1</v>
      </c>
      <c r="F8" s="18" t="n">
        <v>2</v>
      </c>
      <c r="H8" s="21"/>
      <c r="I8" s="9" t="s">
        <v>12</v>
      </c>
      <c r="J8" s="11" t="n">
        <v>15047034</v>
      </c>
      <c r="K8" s="19" t="n">
        <v>1</v>
      </c>
      <c r="L8" s="11" t="n">
        <v>35273268</v>
      </c>
      <c r="M8" s="19" t="n">
        <v>1</v>
      </c>
      <c r="N8" s="11" t="n">
        <v>50320302</v>
      </c>
      <c r="O8" s="11" t="n">
        <v>50320302</v>
      </c>
      <c r="P8" s="20"/>
      <c r="Q8" s="19" t="n">
        <v>0.299</v>
      </c>
      <c r="R8" s="19" t="n">
        <v>0.701</v>
      </c>
    </row>
    <row r="9" customFormat="false" ht="15" hidden="false" customHeight="false" outlineLevel="0" collapsed="false">
      <c r="A9" s="13" t="s">
        <v>106</v>
      </c>
      <c r="B9" s="14" t="n">
        <v>49</v>
      </c>
      <c r="C9" s="14" t="n">
        <v>121</v>
      </c>
      <c r="D9" s="14" t="n">
        <v>0</v>
      </c>
      <c r="E9" s="14" t="n">
        <v>170</v>
      </c>
      <c r="F9" s="15"/>
      <c r="H9" s="5"/>
      <c r="I9" s="13" t="s">
        <v>13</v>
      </c>
      <c r="J9" s="14" t="n">
        <v>19</v>
      </c>
      <c r="K9" s="5"/>
      <c r="L9" s="14" t="n">
        <v>46</v>
      </c>
      <c r="M9" s="5"/>
      <c r="N9" s="14" t="n">
        <v>65</v>
      </c>
      <c r="O9" s="14" t="n">
        <v>65</v>
      </c>
      <c r="P9" s="15"/>
      <c r="Q9" s="16" t="n">
        <v>0.299</v>
      </c>
      <c r="R9" s="16" t="n">
        <v>0.701</v>
      </c>
    </row>
    <row r="10" customFormat="false" ht="15" hidden="false" customHeight="false" outlineLevel="0" collapsed="false">
      <c r="A10" s="13" t="s">
        <v>107</v>
      </c>
      <c r="B10" s="17" t="n">
        <v>0.2882</v>
      </c>
      <c r="C10" s="17" t="n">
        <v>0.7118</v>
      </c>
      <c r="D10" s="17" t="n">
        <v>0</v>
      </c>
      <c r="E10" s="17" t="n">
        <v>1</v>
      </c>
      <c r="F10" s="18" t="n">
        <v>3</v>
      </c>
      <c r="H10" s="5"/>
      <c r="I10" s="13" t="s">
        <v>14</v>
      </c>
      <c r="J10" s="14" t="n">
        <v>49</v>
      </c>
      <c r="K10" s="5"/>
      <c r="L10" s="14" t="n">
        <v>121</v>
      </c>
      <c r="M10" s="5"/>
      <c r="N10" s="14" t="n">
        <v>170</v>
      </c>
      <c r="O10" s="14" t="n">
        <v>170</v>
      </c>
      <c r="P10" s="15"/>
      <c r="Q10" s="16" t="n">
        <v>0.288</v>
      </c>
      <c r="R10" s="16" t="n">
        <v>0.712</v>
      </c>
    </row>
    <row r="11" customFormat="false" ht="15" hidden="false" customHeight="false" outlineLevel="0" collapsed="false">
      <c r="A11" s="13" t="s">
        <v>108</v>
      </c>
      <c r="B11" s="14" t="n">
        <v>126387</v>
      </c>
      <c r="C11" s="14" t="n">
        <v>602259</v>
      </c>
      <c r="D11" s="14" t="n">
        <v>0</v>
      </c>
      <c r="E11" s="14" t="n">
        <v>728646</v>
      </c>
      <c r="F11" s="15"/>
      <c r="H11" s="5"/>
      <c r="I11" s="13" t="s">
        <v>15</v>
      </c>
      <c r="J11" s="14" t="n">
        <v>126387</v>
      </c>
      <c r="K11" s="5"/>
      <c r="L11" s="14" t="n">
        <v>602259</v>
      </c>
      <c r="M11" s="5"/>
      <c r="N11" s="14" t="n">
        <v>728646</v>
      </c>
      <c r="O11" s="14" t="n">
        <v>728646</v>
      </c>
      <c r="P11" s="15"/>
      <c r="Q11" s="16" t="n">
        <v>0.173</v>
      </c>
      <c r="R11" s="16" t="n">
        <v>0.827</v>
      </c>
    </row>
    <row r="12" customFormat="false" ht="15" hidden="false" customHeight="false" outlineLevel="0" collapsed="false">
      <c r="A12" s="13" t="s">
        <v>109</v>
      </c>
      <c r="B12" s="17" t="n">
        <v>0.1735</v>
      </c>
      <c r="C12" s="17" t="n">
        <v>0.8265</v>
      </c>
      <c r="D12" s="17" t="n">
        <v>0</v>
      </c>
      <c r="E12" s="17" t="n">
        <v>1</v>
      </c>
      <c r="F12" s="18" t="n">
        <v>4</v>
      </c>
      <c r="H12" s="5"/>
      <c r="I12" s="13" t="s">
        <v>16</v>
      </c>
      <c r="J12" s="14" t="n">
        <v>2579</v>
      </c>
      <c r="K12" s="5"/>
      <c r="L12" s="14" t="n">
        <v>4977</v>
      </c>
      <c r="M12" s="5"/>
      <c r="N12" s="14" t="n">
        <v>4286</v>
      </c>
      <c r="O12" s="14" t="n">
        <v>4286</v>
      </c>
      <c r="P12" s="15"/>
      <c r="Q12" s="5"/>
      <c r="R12" s="5"/>
    </row>
    <row r="13" customFormat="false" ht="15" hidden="false" customHeight="false" outlineLevel="0" collapsed="false">
      <c r="A13" s="13" t="s">
        <v>19</v>
      </c>
      <c r="B13" s="14" t="n">
        <v>315170</v>
      </c>
      <c r="C13" s="14" t="n">
        <v>2083600</v>
      </c>
      <c r="D13" s="14" t="n">
        <v>463769</v>
      </c>
      <c r="E13" s="14" t="n">
        <v>2862539</v>
      </c>
      <c r="F13" s="15"/>
      <c r="H13" s="5" t="s">
        <v>17</v>
      </c>
      <c r="I13" s="13" t="s">
        <v>88</v>
      </c>
      <c r="J13" s="5"/>
      <c r="K13" s="5"/>
      <c r="L13" s="5"/>
      <c r="M13" s="5"/>
      <c r="N13" s="5"/>
      <c r="O13" s="14" t="n">
        <v>3228680</v>
      </c>
      <c r="P13" s="15" t="s">
        <v>102</v>
      </c>
      <c r="Q13" s="5"/>
      <c r="R13" s="5"/>
    </row>
    <row r="14" customFormat="false" ht="15" hidden="false" customHeight="false" outlineLevel="0" collapsed="false">
      <c r="A14" s="13" t="s">
        <v>20</v>
      </c>
      <c r="B14" s="14" t="n">
        <v>366141</v>
      </c>
      <c r="C14" s="14" t="n">
        <v>0</v>
      </c>
      <c r="D14" s="14" t="n">
        <v>0</v>
      </c>
      <c r="E14" s="14" t="n">
        <v>366141</v>
      </c>
      <c r="F14" s="15"/>
      <c r="H14" s="21" t="s">
        <v>17</v>
      </c>
      <c r="I14" s="9" t="s">
        <v>18</v>
      </c>
      <c r="J14" s="11" t="n">
        <v>761754</v>
      </c>
      <c r="K14" s="19" t="n">
        <v>0.051</v>
      </c>
      <c r="L14" s="11" t="n">
        <v>2466926</v>
      </c>
      <c r="M14" s="19" t="n">
        <v>0.07</v>
      </c>
      <c r="N14" s="11" t="n">
        <v>3228680</v>
      </c>
      <c r="O14" s="11" t="n">
        <v>3228680</v>
      </c>
      <c r="P14" s="20"/>
      <c r="Q14" s="19" t="n">
        <v>0.236</v>
      </c>
      <c r="R14" s="19" t="n">
        <v>0.764</v>
      </c>
    </row>
    <row r="15" customFormat="false" ht="15" hidden="false" customHeight="false" outlineLevel="0" collapsed="false">
      <c r="A15" s="13" t="s">
        <v>110</v>
      </c>
      <c r="B15" s="14" t="n">
        <v>3765357</v>
      </c>
      <c r="C15" s="14" t="n">
        <v>2358554</v>
      </c>
      <c r="D15" s="14" t="n">
        <v>9953616</v>
      </c>
      <c r="E15" s="14" t="n">
        <v>16077527</v>
      </c>
      <c r="F15" s="15"/>
      <c r="H15" s="5"/>
      <c r="I15" s="13" t="s">
        <v>19</v>
      </c>
      <c r="J15" s="14" t="n">
        <v>395613</v>
      </c>
      <c r="K15" s="16" t="n">
        <v>0.026</v>
      </c>
      <c r="L15" s="14" t="n">
        <v>2466926</v>
      </c>
      <c r="M15" s="16" t="n">
        <v>0.07</v>
      </c>
      <c r="N15" s="14" t="n">
        <v>2862539</v>
      </c>
      <c r="O15" s="5"/>
      <c r="P15" s="15"/>
      <c r="Q15" s="16" t="n">
        <v>0.138</v>
      </c>
      <c r="R15" s="16" t="n">
        <v>0.862</v>
      </c>
    </row>
    <row r="16" customFormat="false" ht="15" hidden="false" customHeight="false" outlineLevel="0" collapsed="false">
      <c r="A16" s="13" t="s">
        <v>30</v>
      </c>
      <c r="B16" s="14" t="n">
        <v>690505</v>
      </c>
      <c r="C16" s="14" t="n">
        <v>3551050</v>
      </c>
      <c r="D16" s="14" t="n">
        <v>0</v>
      </c>
      <c r="E16" s="14" t="n">
        <v>4241555</v>
      </c>
      <c r="F16" s="15"/>
      <c r="H16" s="5"/>
      <c r="I16" s="13" t="s">
        <v>20</v>
      </c>
      <c r="J16" s="14" t="n">
        <v>366141</v>
      </c>
      <c r="K16" s="16" t="n">
        <v>0.024</v>
      </c>
      <c r="L16" s="14" t="n">
        <v>0</v>
      </c>
      <c r="M16" s="16" t="n">
        <v>0</v>
      </c>
      <c r="N16" s="14" t="n">
        <v>366141</v>
      </c>
      <c r="O16" s="5"/>
      <c r="P16" s="15"/>
      <c r="Q16" s="16" t="n">
        <v>1</v>
      </c>
      <c r="R16" s="16" t="n">
        <v>0</v>
      </c>
    </row>
    <row r="17" customFormat="false" ht="15" hidden="false" customHeight="false" outlineLevel="0" collapsed="false">
      <c r="A17" s="13" t="s">
        <v>31</v>
      </c>
      <c r="B17" s="14" t="n">
        <v>862744</v>
      </c>
      <c r="C17" s="14" t="n">
        <v>333214</v>
      </c>
      <c r="D17" s="14" t="n">
        <v>0</v>
      </c>
      <c r="E17" s="14" t="n">
        <v>1195958</v>
      </c>
      <c r="F17" s="15"/>
      <c r="H17" s="5"/>
      <c r="I17" s="13" t="s">
        <v>21</v>
      </c>
      <c r="J17" s="14" t="n">
        <v>5491857</v>
      </c>
      <c r="K17" s="16" t="n">
        <v>0.365</v>
      </c>
      <c r="L17" s="14" t="n">
        <v>10585670</v>
      </c>
      <c r="M17" s="16" t="n">
        <v>0.3</v>
      </c>
      <c r="N17" s="14" t="n">
        <v>16077527</v>
      </c>
      <c r="O17" s="14" t="n">
        <v>16077527</v>
      </c>
      <c r="P17" s="15" t="s">
        <v>102</v>
      </c>
      <c r="Q17" s="16" t="n">
        <v>0.342</v>
      </c>
      <c r="R17" s="16" t="n">
        <v>0.658</v>
      </c>
    </row>
    <row r="18" customFormat="false" ht="15" hidden="false" customHeight="false" outlineLevel="0" collapsed="false">
      <c r="A18" s="13" t="s">
        <v>32</v>
      </c>
      <c r="B18" s="14" t="n">
        <v>1251504</v>
      </c>
      <c r="C18" s="14" t="n">
        <v>110880</v>
      </c>
      <c r="D18" s="14" t="n">
        <v>0</v>
      </c>
      <c r="E18" s="14" t="n">
        <v>1362384</v>
      </c>
      <c r="F18" s="15"/>
      <c r="H18" s="5"/>
      <c r="I18" s="13" t="s">
        <v>22</v>
      </c>
      <c r="J18" s="14" t="n">
        <v>0</v>
      </c>
      <c r="K18" s="16" t="n">
        <v>0</v>
      </c>
      <c r="L18" s="14" t="n">
        <v>0</v>
      </c>
      <c r="M18" s="16" t="n">
        <v>0</v>
      </c>
      <c r="N18" s="14" t="n">
        <v>0</v>
      </c>
      <c r="O18" s="14" t="n">
        <v>0</v>
      </c>
      <c r="P18" s="18" t="n">
        <v>2</v>
      </c>
      <c r="Q18" s="22" t="s">
        <v>111</v>
      </c>
      <c r="R18" s="22" t="s">
        <v>111</v>
      </c>
    </row>
    <row r="19" customFormat="false" ht="15" hidden="false" customHeight="false" outlineLevel="0" collapsed="false">
      <c r="A19" s="13" t="s">
        <v>33</v>
      </c>
      <c r="B19" s="14" t="n">
        <v>1742850</v>
      </c>
      <c r="C19" s="14" t="n">
        <v>0</v>
      </c>
      <c r="D19" s="14" t="n">
        <v>0</v>
      </c>
      <c r="E19" s="14" t="n">
        <v>1742850</v>
      </c>
      <c r="F19" s="15"/>
      <c r="H19" s="5"/>
      <c r="I19" s="13" t="s">
        <v>23</v>
      </c>
      <c r="J19" s="14" t="n">
        <v>912000</v>
      </c>
      <c r="K19" s="16" t="n">
        <v>0.061</v>
      </c>
      <c r="L19" s="14" t="n">
        <v>2134477</v>
      </c>
      <c r="M19" s="16" t="n">
        <v>0.061</v>
      </c>
      <c r="N19" s="14" t="n">
        <v>3046477</v>
      </c>
      <c r="O19" s="14" t="n">
        <v>3046477</v>
      </c>
      <c r="P19" s="18" t="n">
        <v>2</v>
      </c>
      <c r="Q19" s="16" t="n">
        <v>0.299</v>
      </c>
      <c r="R19" s="16" t="n">
        <v>0.701</v>
      </c>
    </row>
    <row r="20" customFormat="false" ht="15" hidden="false" customHeight="false" outlineLevel="0" collapsed="false">
      <c r="A20" s="13" t="s">
        <v>34</v>
      </c>
      <c r="B20" s="14" t="n">
        <v>112400</v>
      </c>
      <c r="C20" s="14" t="n">
        <v>157000</v>
      </c>
      <c r="D20" s="14" t="n">
        <v>0</v>
      </c>
      <c r="E20" s="14" t="n">
        <v>269400</v>
      </c>
      <c r="F20" s="15"/>
      <c r="H20" s="5"/>
      <c r="I20" s="13" t="s">
        <v>24</v>
      </c>
      <c r="J20" s="14" t="n">
        <v>0</v>
      </c>
      <c r="K20" s="16" t="n">
        <v>0</v>
      </c>
      <c r="L20" s="14" t="n">
        <v>0</v>
      </c>
      <c r="M20" s="16" t="n">
        <v>0</v>
      </c>
      <c r="N20" s="14" t="n">
        <v>0</v>
      </c>
      <c r="O20" s="14" t="n">
        <v>0</v>
      </c>
      <c r="P20" s="18" t="n">
        <v>2</v>
      </c>
      <c r="Q20" s="22" t="s">
        <v>111</v>
      </c>
      <c r="R20" s="22" t="s">
        <v>111</v>
      </c>
    </row>
    <row r="21" customFormat="false" ht="15" hidden="false" customHeight="false" outlineLevel="0" collapsed="false">
      <c r="A21" s="13" t="s">
        <v>35</v>
      </c>
      <c r="B21" s="14" t="n">
        <v>550400</v>
      </c>
      <c r="C21" s="14" t="n">
        <v>668631</v>
      </c>
      <c r="D21" s="14" t="n">
        <v>264250</v>
      </c>
      <c r="E21" s="14" t="n">
        <v>1483281</v>
      </c>
      <c r="F21" s="15"/>
      <c r="H21" s="5"/>
      <c r="I21" s="13" t="s">
        <v>25</v>
      </c>
      <c r="J21" s="14" t="n">
        <v>0</v>
      </c>
      <c r="K21" s="16" t="n">
        <v>0</v>
      </c>
      <c r="L21" s="14" t="n">
        <v>0</v>
      </c>
      <c r="M21" s="16" t="n">
        <v>0</v>
      </c>
      <c r="N21" s="14" t="n">
        <v>0</v>
      </c>
      <c r="O21" s="14" t="n">
        <v>0</v>
      </c>
      <c r="P21" s="18" t="n">
        <v>4</v>
      </c>
      <c r="Q21" s="22" t="s">
        <v>111</v>
      </c>
      <c r="R21" s="22" t="s">
        <v>111</v>
      </c>
    </row>
    <row r="22" customFormat="false" ht="15" hidden="false" customHeight="false" outlineLevel="0" collapsed="false">
      <c r="A22" s="13" t="s">
        <v>36</v>
      </c>
      <c r="B22" s="14" t="n">
        <v>444448</v>
      </c>
      <c r="C22" s="14" t="n">
        <v>1881342</v>
      </c>
      <c r="D22" s="14" t="n">
        <v>0</v>
      </c>
      <c r="E22" s="14" t="n">
        <v>2325790</v>
      </c>
      <c r="F22" s="15"/>
      <c r="H22" s="5"/>
      <c r="I22" s="13" t="s">
        <v>26</v>
      </c>
      <c r="J22" s="14" t="n">
        <v>0</v>
      </c>
      <c r="K22" s="16" t="n">
        <v>0</v>
      </c>
      <c r="L22" s="14" t="n">
        <v>0</v>
      </c>
      <c r="M22" s="16" t="n">
        <v>0</v>
      </c>
      <c r="N22" s="14" t="n">
        <v>0</v>
      </c>
      <c r="O22" s="14" t="n">
        <v>0</v>
      </c>
      <c r="P22" s="18" t="n">
        <v>0</v>
      </c>
      <c r="Q22" s="22" t="s">
        <v>111</v>
      </c>
      <c r="R22" s="22" t="s">
        <v>111</v>
      </c>
    </row>
    <row r="23" customFormat="false" ht="15" hidden="false" customHeight="false" outlineLevel="0" collapsed="false">
      <c r="A23" s="13" t="s">
        <v>39</v>
      </c>
      <c r="B23" s="14" t="n">
        <v>0</v>
      </c>
      <c r="C23" s="14" t="n">
        <v>662090</v>
      </c>
      <c r="D23" s="14" t="n">
        <v>165706</v>
      </c>
      <c r="E23" s="14" t="n">
        <v>827796</v>
      </c>
      <c r="F23" s="15"/>
      <c r="H23" s="21" t="s">
        <v>27</v>
      </c>
      <c r="I23" s="9" t="s">
        <v>28</v>
      </c>
      <c r="J23" s="11" t="n">
        <v>6403858</v>
      </c>
      <c r="K23" s="19" t="n">
        <v>0.426</v>
      </c>
      <c r="L23" s="11" t="n">
        <v>12720146</v>
      </c>
      <c r="M23" s="19" t="n">
        <v>0.361</v>
      </c>
      <c r="N23" s="11" t="n">
        <v>19124004</v>
      </c>
      <c r="O23" s="11" t="n">
        <v>19124004</v>
      </c>
      <c r="P23" s="20"/>
      <c r="Q23" s="19" t="n">
        <v>0.335</v>
      </c>
      <c r="R23" s="19" t="n">
        <v>0.665</v>
      </c>
    </row>
    <row r="24" customFormat="false" ht="15" hidden="false" customHeight="false" outlineLevel="0" collapsed="false">
      <c r="A24" s="13" t="s">
        <v>112</v>
      </c>
      <c r="B24" s="14" t="n">
        <v>378000</v>
      </c>
      <c r="C24" s="14" t="n">
        <v>48640</v>
      </c>
      <c r="D24" s="14" t="n">
        <v>3809</v>
      </c>
      <c r="E24" s="14" t="n">
        <v>430449</v>
      </c>
      <c r="F24" s="15"/>
      <c r="H24" s="21" t="s">
        <v>17</v>
      </c>
      <c r="I24" s="9" t="s">
        <v>29</v>
      </c>
      <c r="J24" s="11" t="n">
        <v>5700686</v>
      </c>
      <c r="K24" s="19" t="n">
        <v>0.379</v>
      </c>
      <c r="L24" s="11" t="n">
        <v>6920532</v>
      </c>
      <c r="M24" s="19" t="n">
        <v>0.196</v>
      </c>
      <c r="N24" s="11" t="n">
        <v>12621218</v>
      </c>
      <c r="O24" s="11" t="n">
        <v>12621218</v>
      </c>
      <c r="P24" s="20"/>
      <c r="Q24" s="19" t="n">
        <v>0.452</v>
      </c>
      <c r="R24" s="19" t="n">
        <v>0.548</v>
      </c>
    </row>
    <row r="25" customFormat="false" ht="15" hidden="false" customHeight="false" outlineLevel="0" collapsed="false">
      <c r="F25" s="23"/>
      <c r="H25" s="5"/>
      <c r="I25" s="13" t="s">
        <v>30</v>
      </c>
      <c r="J25" s="14" t="n">
        <v>690505</v>
      </c>
      <c r="K25" s="16" t="n">
        <v>0.046</v>
      </c>
      <c r="L25" s="14" t="n">
        <v>3551050</v>
      </c>
      <c r="M25" s="16" t="n">
        <v>0.101</v>
      </c>
      <c r="N25" s="14" t="n">
        <v>4241555</v>
      </c>
      <c r="O25" s="5"/>
      <c r="P25" s="15"/>
      <c r="Q25" s="16" t="n">
        <v>0.163</v>
      </c>
      <c r="R25" s="16" t="n">
        <v>0.837</v>
      </c>
    </row>
    <row r="26" customFormat="false" ht="15" hidden="false" customHeight="false" outlineLevel="0" collapsed="false">
      <c r="A26" s="24" t="s">
        <v>113</v>
      </c>
      <c r="B26" s="25" t="s">
        <v>92</v>
      </c>
      <c r="C26" s="25" t="s">
        <v>93</v>
      </c>
      <c r="D26" s="25" t="s">
        <v>96</v>
      </c>
      <c r="E26" s="25" t="s">
        <v>95</v>
      </c>
      <c r="F26" s="23"/>
      <c r="H26" s="5"/>
      <c r="I26" s="13" t="s">
        <v>31</v>
      </c>
      <c r="J26" s="14" t="n">
        <v>862744</v>
      </c>
      <c r="K26" s="16" t="n">
        <v>0.057</v>
      </c>
      <c r="L26" s="14" t="n">
        <v>333214</v>
      </c>
      <c r="M26" s="16" t="n">
        <v>0.009</v>
      </c>
      <c r="N26" s="14" t="n">
        <v>1195958</v>
      </c>
      <c r="O26" s="5"/>
      <c r="P26" s="15"/>
      <c r="Q26" s="16" t="n">
        <v>0.721</v>
      </c>
      <c r="R26" s="16" t="n">
        <v>0.279</v>
      </c>
    </row>
    <row r="27" customFormat="false" ht="15" hidden="false" customHeight="false" outlineLevel="0" collapsed="false">
      <c r="A27" s="13" t="s">
        <v>101</v>
      </c>
      <c r="B27" s="14" t="n">
        <v>15327119</v>
      </c>
      <c r="C27" s="14" t="n">
        <v>34855322</v>
      </c>
      <c r="D27" s="14" t="n">
        <v>4</v>
      </c>
      <c r="E27" s="14" t="n">
        <v>50182441</v>
      </c>
      <c r="F27" s="23"/>
      <c r="H27" s="5"/>
      <c r="I27" s="13" t="s">
        <v>32</v>
      </c>
      <c r="J27" s="14" t="n">
        <v>1251504</v>
      </c>
      <c r="K27" s="16" t="n">
        <v>0.083</v>
      </c>
      <c r="L27" s="14" t="n">
        <v>110880</v>
      </c>
      <c r="M27" s="16" t="n">
        <v>0.003</v>
      </c>
      <c r="N27" s="14" t="n">
        <v>1362384</v>
      </c>
      <c r="O27" s="5"/>
      <c r="P27" s="15"/>
      <c r="Q27" s="16" t="n">
        <v>0.919</v>
      </c>
      <c r="R27" s="16" t="n">
        <v>0.081</v>
      </c>
    </row>
    <row r="28" customFormat="false" ht="15" hidden="false" customHeight="false" outlineLevel="0" collapsed="false">
      <c r="A28" s="13" t="s">
        <v>104</v>
      </c>
      <c r="B28" s="14" t="n">
        <v>19</v>
      </c>
      <c r="C28" s="14" t="n">
        <v>46</v>
      </c>
      <c r="D28" s="14" t="n">
        <v>4</v>
      </c>
      <c r="E28" s="14" t="n">
        <v>65</v>
      </c>
      <c r="F28" s="23"/>
      <c r="H28" s="5"/>
      <c r="I28" s="13" t="s">
        <v>33</v>
      </c>
      <c r="J28" s="14" t="n">
        <v>1742850</v>
      </c>
      <c r="K28" s="16" t="n">
        <v>0.116</v>
      </c>
      <c r="L28" s="14" t="n">
        <v>0</v>
      </c>
      <c r="M28" s="16" t="n">
        <v>0</v>
      </c>
      <c r="N28" s="14" t="n">
        <v>1742850</v>
      </c>
      <c r="O28" s="5"/>
      <c r="P28" s="15"/>
      <c r="Q28" s="16" t="n">
        <v>1</v>
      </c>
      <c r="R28" s="16" t="n">
        <v>0</v>
      </c>
    </row>
    <row r="29" customFormat="false" ht="15" hidden="false" customHeight="false" outlineLevel="0" collapsed="false">
      <c r="A29" s="13" t="s">
        <v>106</v>
      </c>
      <c r="B29" s="14" t="n">
        <v>49</v>
      </c>
      <c r="C29" s="14" t="n">
        <v>121</v>
      </c>
      <c r="D29" s="14" t="n">
        <v>3</v>
      </c>
      <c r="E29" s="14" t="n">
        <v>170</v>
      </c>
      <c r="F29" s="23"/>
      <c r="H29" s="5"/>
      <c r="I29" s="13" t="s">
        <v>34</v>
      </c>
      <c r="J29" s="14" t="n">
        <v>112400</v>
      </c>
      <c r="K29" s="16" t="n">
        <v>0.007</v>
      </c>
      <c r="L29" s="14" t="n">
        <v>157000</v>
      </c>
      <c r="M29" s="16" t="n">
        <v>0.004</v>
      </c>
      <c r="N29" s="14" t="n">
        <v>269400</v>
      </c>
      <c r="O29" s="5"/>
      <c r="P29" s="15"/>
      <c r="Q29" s="16" t="n">
        <v>0.417</v>
      </c>
      <c r="R29" s="16" t="n">
        <v>0.583</v>
      </c>
    </row>
    <row r="30" customFormat="false" ht="15" hidden="false" customHeight="false" outlineLevel="0" collapsed="false">
      <c r="A30" s="13" t="s">
        <v>108</v>
      </c>
      <c r="B30" s="14" t="n">
        <v>126387</v>
      </c>
      <c r="C30" s="14" t="n">
        <v>602259</v>
      </c>
      <c r="D30" s="14" t="n">
        <v>4</v>
      </c>
      <c r="E30" s="14" t="n">
        <v>728646</v>
      </c>
      <c r="F30" s="23"/>
      <c r="H30" s="5"/>
      <c r="I30" s="13" t="s">
        <v>35</v>
      </c>
      <c r="J30" s="14" t="n">
        <v>596235</v>
      </c>
      <c r="K30" s="16" t="n">
        <v>0.04</v>
      </c>
      <c r="L30" s="14" t="n">
        <v>887046</v>
      </c>
      <c r="M30" s="16" t="n">
        <v>0.025</v>
      </c>
      <c r="N30" s="14" t="n">
        <v>1483281</v>
      </c>
      <c r="O30" s="5"/>
      <c r="P30" s="15"/>
      <c r="Q30" s="16" t="n">
        <v>0.402</v>
      </c>
      <c r="R30" s="16" t="n">
        <v>0.598</v>
      </c>
    </row>
    <row r="31" customFormat="false" ht="15" hidden="false" customHeight="false" outlineLevel="0" collapsed="false">
      <c r="A31" s="13" t="s">
        <v>19</v>
      </c>
      <c r="B31" s="14" t="n">
        <v>395613</v>
      </c>
      <c r="C31" s="14" t="n">
        <v>2466926</v>
      </c>
      <c r="D31" s="14" t="n">
        <v>4</v>
      </c>
      <c r="E31" s="14" t="n">
        <v>2862539</v>
      </c>
      <c r="F31" s="23"/>
      <c r="H31" s="5"/>
      <c r="I31" s="13" t="s">
        <v>36</v>
      </c>
      <c r="J31" s="14" t="n">
        <v>444448</v>
      </c>
      <c r="K31" s="16" t="n">
        <v>0.03</v>
      </c>
      <c r="L31" s="14" t="n">
        <v>1881342</v>
      </c>
      <c r="M31" s="16" t="n">
        <v>0.053</v>
      </c>
      <c r="N31" s="14" t="n">
        <v>2325790</v>
      </c>
      <c r="O31" s="5"/>
      <c r="P31" s="15"/>
      <c r="Q31" s="16" t="n">
        <v>0.191</v>
      </c>
      <c r="R31" s="16" t="n">
        <v>0.809</v>
      </c>
    </row>
    <row r="32" customFormat="false" ht="15" hidden="false" customHeight="false" outlineLevel="0" collapsed="false">
      <c r="A32" s="13" t="s">
        <v>20</v>
      </c>
      <c r="B32" s="14" t="n">
        <v>366141</v>
      </c>
      <c r="C32" s="14" t="n">
        <v>0</v>
      </c>
      <c r="D32" s="14" t="n">
        <v>4</v>
      </c>
      <c r="E32" s="14" t="n">
        <v>366141</v>
      </c>
      <c r="F32" s="23"/>
      <c r="H32" s="5" t="s">
        <v>17</v>
      </c>
      <c r="I32" s="13" t="s">
        <v>37</v>
      </c>
      <c r="J32" s="14" t="n">
        <v>307738</v>
      </c>
      <c r="K32" s="16" t="n">
        <v>0.02</v>
      </c>
      <c r="L32" s="14" t="n">
        <v>1466433</v>
      </c>
      <c r="M32" s="16" t="n">
        <v>0.042</v>
      </c>
      <c r="N32" s="14" t="n">
        <v>1774171</v>
      </c>
      <c r="O32" s="14" t="n">
        <v>1774171</v>
      </c>
      <c r="P32" s="18" t="n">
        <v>4</v>
      </c>
      <c r="Q32" s="16" t="n">
        <v>0.173</v>
      </c>
      <c r="R32" s="16" t="n">
        <v>0.827</v>
      </c>
    </row>
    <row r="33" customFormat="false" ht="15" hidden="false" customHeight="false" outlineLevel="0" collapsed="false">
      <c r="A33" s="13" t="s">
        <v>110</v>
      </c>
      <c r="B33" s="14" t="n">
        <v>5491857</v>
      </c>
      <c r="C33" s="14" t="n">
        <v>10585670</v>
      </c>
      <c r="D33" s="14" t="n">
        <v>4</v>
      </c>
      <c r="E33" s="14" t="n">
        <v>16077527</v>
      </c>
      <c r="F33" s="23"/>
      <c r="H33" s="5" t="s">
        <v>27</v>
      </c>
      <c r="I33" s="13" t="s">
        <v>38</v>
      </c>
      <c r="J33" s="14" t="n">
        <v>101982</v>
      </c>
      <c r="K33" s="16" t="n">
        <v>0.007</v>
      </c>
      <c r="L33" s="14" t="n">
        <v>101982</v>
      </c>
      <c r="M33" s="16" t="n">
        <v>0.003</v>
      </c>
      <c r="N33" s="14" t="n">
        <v>203964</v>
      </c>
      <c r="O33" s="14" t="n">
        <v>203964</v>
      </c>
      <c r="P33" s="18" t="n">
        <v>0</v>
      </c>
      <c r="Q33" s="16" t="n">
        <v>0.5</v>
      </c>
      <c r="R33" s="16" t="n">
        <v>0.5</v>
      </c>
    </row>
    <row r="34" customFormat="false" ht="15" hidden="false" customHeight="false" outlineLevel="0" collapsed="false">
      <c r="A34" s="13" t="s">
        <v>30</v>
      </c>
      <c r="B34" s="14" t="n">
        <v>690505</v>
      </c>
      <c r="C34" s="14" t="n">
        <v>3551050</v>
      </c>
      <c r="D34" s="14" t="n">
        <v>4</v>
      </c>
      <c r="E34" s="14" t="n">
        <v>4241555</v>
      </c>
      <c r="F34" s="23"/>
      <c r="H34" s="5" t="s">
        <v>17</v>
      </c>
      <c r="I34" s="13" t="s">
        <v>39</v>
      </c>
      <c r="J34" s="14" t="n">
        <v>28742</v>
      </c>
      <c r="K34" s="16" t="n">
        <v>0.002</v>
      </c>
      <c r="L34" s="14" t="n">
        <v>799054</v>
      </c>
      <c r="M34" s="16" t="n">
        <v>0.023</v>
      </c>
      <c r="N34" s="14" t="n">
        <v>827796</v>
      </c>
      <c r="O34" s="14" t="n">
        <v>827796</v>
      </c>
      <c r="P34" s="15" t="s">
        <v>102</v>
      </c>
      <c r="Q34" s="16" t="n">
        <v>0.035</v>
      </c>
      <c r="R34" s="16" t="n">
        <v>0.965</v>
      </c>
    </row>
    <row r="35" customFormat="false" ht="15" hidden="false" customHeight="false" outlineLevel="0" collapsed="false">
      <c r="A35" s="13" t="s">
        <v>31</v>
      </c>
      <c r="B35" s="14" t="n">
        <v>862744</v>
      </c>
      <c r="C35" s="14" t="n">
        <v>333214</v>
      </c>
      <c r="D35" s="14" t="n">
        <v>4</v>
      </c>
      <c r="E35" s="14" t="n">
        <v>1195958</v>
      </c>
      <c r="F35" s="23"/>
      <c r="H35" s="5" t="s">
        <v>27</v>
      </c>
      <c r="I35" s="13" t="s">
        <v>40</v>
      </c>
      <c r="J35" s="14" t="n">
        <v>2549697</v>
      </c>
      <c r="K35" s="16" t="n">
        <v>0.169</v>
      </c>
      <c r="L35" s="14" t="n">
        <v>5042546</v>
      </c>
      <c r="M35" s="16" t="n">
        <v>0.143</v>
      </c>
      <c r="N35" s="14" t="n">
        <v>7592243</v>
      </c>
      <c r="O35" s="14" t="n">
        <v>0</v>
      </c>
      <c r="P35" s="15" t="s">
        <v>102</v>
      </c>
      <c r="Q35" s="16" t="n">
        <v>0.336</v>
      </c>
      <c r="R35" s="16" t="n">
        <v>0.664</v>
      </c>
    </row>
    <row r="36" customFormat="false" ht="15" hidden="false" customHeight="false" outlineLevel="0" collapsed="false">
      <c r="A36" s="13" t="s">
        <v>32</v>
      </c>
      <c r="B36" s="14" t="n">
        <v>1251504</v>
      </c>
      <c r="C36" s="14" t="n">
        <v>110880</v>
      </c>
      <c r="D36" s="14" t="n">
        <v>4</v>
      </c>
      <c r="E36" s="14" t="n">
        <v>1362384</v>
      </c>
      <c r="F36" s="23"/>
      <c r="H36" s="5" t="s">
        <v>17</v>
      </c>
      <c r="I36" s="13" t="s">
        <v>41</v>
      </c>
      <c r="J36" s="14" t="n">
        <v>82702</v>
      </c>
      <c r="K36" s="16" t="n">
        <v>0.005</v>
      </c>
      <c r="L36" s="14" t="n">
        <v>394092</v>
      </c>
      <c r="M36" s="16" t="n">
        <v>0.011</v>
      </c>
      <c r="N36" s="14" t="n">
        <v>476794</v>
      </c>
      <c r="O36" s="14" t="n">
        <v>476794</v>
      </c>
      <c r="P36" s="18" t="n">
        <v>4</v>
      </c>
      <c r="Q36" s="16" t="n">
        <v>0.173</v>
      </c>
      <c r="R36" s="16" t="n">
        <v>0.827</v>
      </c>
    </row>
    <row r="37" customFormat="false" ht="15" hidden="false" customHeight="false" outlineLevel="0" collapsed="false">
      <c r="A37" s="13" t="s">
        <v>33</v>
      </c>
      <c r="B37" s="14" t="n">
        <v>1742850</v>
      </c>
      <c r="C37" s="14" t="n">
        <v>0</v>
      </c>
      <c r="D37" s="14" t="n">
        <v>4</v>
      </c>
      <c r="E37" s="14" t="n">
        <v>1742850</v>
      </c>
      <c r="F37" s="23"/>
      <c r="H37" s="5" t="s">
        <v>27</v>
      </c>
      <c r="I37" s="13" t="s">
        <v>42</v>
      </c>
      <c r="J37" s="14" t="n">
        <v>43965</v>
      </c>
      <c r="K37" s="16" t="n">
        <v>0.003</v>
      </c>
      <c r="L37" s="14" t="n">
        <v>209501</v>
      </c>
      <c r="M37" s="16" t="n">
        <v>0.006</v>
      </c>
      <c r="N37" s="14" t="n">
        <v>253466</v>
      </c>
      <c r="O37" s="14" t="n">
        <v>253466</v>
      </c>
      <c r="P37" s="18" t="n">
        <v>4</v>
      </c>
      <c r="Q37" s="16" t="n">
        <v>0.173</v>
      </c>
      <c r="R37" s="16" t="n">
        <v>0.827</v>
      </c>
    </row>
    <row r="38" customFormat="false" ht="15" hidden="false" customHeight="false" outlineLevel="0" collapsed="false">
      <c r="A38" s="13" t="s">
        <v>34</v>
      </c>
      <c r="B38" s="14" t="n">
        <v>112400</v>
      </c>
      <c r="C38" s="14" t="n">
        <v>157000</v>
      </c>
      <c r="D38" s="14" t="n">
        <v>4</v>
      </c>
      <c r="E38" s="14" t="n">
        <v>269400</v>
      </c>
      <c r="F38" s="23"/>
      <c r="H38" s="5" t="s">
        <v>27</v>
      </c>
      <c r="I38" s="13" t="s">
        <v>43</v>
      </c>
      <c r="J38" s="14" t="n">
        <v>25940</v>
      </c>
      <c r="K38" s="16" t="n">
        <v>0.002</v>
      </c>
      <c r="L38" s="14" t="n">
        <v>123611</v>
      </c>
      <c r="M38" s="16" t="n">
        <v>0.004</v>
      </c>
      <c r="N38" s="14" t="n">
        <v>149551</v>
      </c>
      <c r="O38" s="14" t="n">
        <v>149551</v>
      </c>
      <c r="P38" s="18" t="n">
        <v>4</v>
      </c>
      <c r="Q38" s="16" t="n">
        <v>0.173</v>
      </c>
      <c r="R38" s="16" t="n">
        <v>0.827</v>
      </c>
    </row>
    <row r="39" customFormat="false" ht="15" hidden="false" customHeight="false" outlineLevel="0" collapsed="false">
      <c r="A39" s="13" t="s">
        <v>35</v>
      </c>
      <c r="B39" s="14" t="n">
        <v>596235</v>
      </c>
      <c r="C39" s="14" t="n">
        <v>887046</v>
      </c>
      <c r="D39" s="14" t="n">
        <v>4</v>
      </c>
      <c r="E39" s="14" t="n">
        <v>1483281</v>
      </c>
      <c r="F39" s="23"/>
      <c r="H39" s="5" t="s">
        <v>27</v>
      </c>
      <c r="I39" s="13" t="s">
        <v>44</v>
      </c>
      <c r="J39" s="14" t="n">
        <v>0</v>
      </c>
      <c r="K39" s="16" t="n">
        <v>0</v>
      </c>
      <c r="L39" s="14" t="n">
        <v>0</v>
      </c>
      <c r="M39" s="16" t="n">
        <v>0</v>
      </c>
      <c r="N39" s="14" t="n">
        <v>0</v>
      </c>
      <c r="O39" s="14" t="n">
        <v>0</v>
      </c>
      <c r="P39" s="18" t="n">
        <v>1</v>
      </c>
      <c r="Q39" s="22" t="s">
        <v>111</v>
      </c>
      <c r="R39" s="22" t="s">
        <v>111</v>
      </c>
    </row>
    <row r="40" customFormat="false" ht="15" hidden="false" customHeight="false" outlineLevel="0" collapsed="false">
      <c r="A40" s="13" t="s">
        <v>36</v>
      </c>
      <c r="B40" s="14" t="n">
        <v>444448</v>
      </c>
      <c r="C40" s="14" t="n">
        <v>1881342</v>
      </c>
      <c r="D40" s="14" t="n">
        <v>4</v>
      </c>
      <c r="E40" s="14" t="n">
        <v>2325790</v>
      </c>
      <c r="F40" s="23"/>
      <c r="H40" s="5" t="s">
        <v>17</v>
      </c>
      <c r="I40" s="13" t="s">
        <v>45</v>
      </c>
      <c r="J40" s="14" t="n">
        <v>0</v>
      </c>
      <c r="K40" s="16" t="n">
        <v>0</v>
      </c>
      <c r="L40" s="14" t="n">
        <v>0</v>
      </c>
      <c r="M40" s="16" t="n">
        <v>0</v>
      </c>
      <c r="N40" s="14" t="n">
        <v>0</v>
      </c>
      <c r="O40" s="14" t="n">
        <v>0</v>
      </c>
      <c r="P40" s="18" t="n">
        <v>4</v>
      </c>
      <c r="Q40" s="22" t="s">
        <v>111</v>
      </c>
      <c r="R40" s="22" t="s">
        <v>111</v>
      </c>
    </row>
    <row r="41" customFormat="false" ht="15" hidden="false" customHeight="false" outlineLevel="0" collapsed="false">
      <c r="A41" s="13" t="s">
        <v>39</v>
      </c>
      <c r="B41" s="14" t="n">
        <v>28742</v>
      </c>
      <c r="C41" s="14" t="n">
        <v>799054</v>
      </c>
      <c r="D41" s="14" t="n">
        <v>4</v>
      </c>
      <c r="E41" s="14" t="n">
        <v>827796</v>
      </c>
      <c r="F41" s="23"/>
      <c r="H41" s="5" t="s">
        <v>17</v>
      </c>
      <c r="I41" s="13" t="s">
        <v>46</v>
      </c>
      <c r="J41" s="14" t="n">
        <v>13287</v>
      </c>
      <c r="K41" s="16" t="n">
        <v>0.001</v>
      </c>
      <c r="L41" s="14" t="n">
        <v>63313</v>
      </c>
      <c r="M41" s="16" t="n">
        <v>0.002</v>
      </c>
      <c r="N41" s="14" t="n">
        <v>76600</v>
      </c>
      <c r="O41" s="14" t="n">
        <v>76600</v>
      </c>
      <c r="P41" s="18" t="n">
        <v>4</v>
      </c>
      <c r="Q41" s="16" t="n">
        <v>0.173</v>
      </c>
      <c r="R41" s="16" t="n">
        <v>0.827</v>
      </c>
    </row>
    <row r="42" customFormat="false" ht="15" hidden="false" customHeight="false" outlineLevel="0" collapsed="false">
      <c r="A42" s="13" t="s">
        <v>112</v>
      </c>
      <c r="B42" s="14" t="n">
        <v>378661</v>
      </c>
      <c r="C42" s="14" t="n">
        <v>51788</v>
      </c>
      <c r="D42" s="14" t="n">
        <v>4</v>
      </c>
      <c r="E42" s="14" t="n">
        <v>430449</v>
      </c>
      <c r="F42" s="23"/>
      <c r="H42" s="5" t="s">
        <v>17</v>
      </c>
      <c r="I42" s="13" t="s">
        <v>47</v>
      </c>
      <c r="J42" s="14" t="n">
        <v>88529</v>
      </c>
      <c r="K42" s="16" t="n">
        <v>0.006</v>
      </c>
      <c r="L42" s="14" t="n">
        <v>421861</v>
      </c>
      <c r="M42" s="16" t="n">
        <v>0.012</v>
      </c>
      <c r="N42" s="14" t="n">
        <v>510390</v>
      </c>
      <c r="O42" s="14" t="n">
        <v>510390</v>
      </c>
      <c r="P42" s="18" t="n">
        <v>4</v>
      </c>
      <c r="Q42" s="16" t="n">
        <v>0.173</v>
      </c>
      <c r="R42" s="16" t="n">
        <v>0.827</v>
      </c>
    </row>
    <row r="43" customFormat="false" ht="15" hidden="false" customHeight="false" outlineLevel="0" collapsed="false">
      <c r="F43" s="23"/>
      <c r="H43" s="5" t="s">
        <v>27</v>
      </c>
      <c r="I43" s="13" t="s">
        <v>48</v>
      </c>
      <c r="J43" s="14" t="n">
        <v>151950</v>
      </c>
      <c r="K43" s="16" t="n">
        <v>0.01</v>
      </c>
      <c r="L43" s="14" t="n">
        <v>151950</v>
      </c>
      <c r="M43" s="16" t="n">
        <v>0.004</v>
      </c>
      <c r="N43" s="14" t="n">
        <v>303900</v>
      </c>
      <c r="O43" s="14" t="n">
        <v>303900</v>
      </c>
      <c r="P43" s="18" t="n">
        <v>0</v>
      </c>
      <c r="Q43" s="16" t="n">
        <v>0.5</v>
      </c>
      <c r="R43" s="16" t="n">
        <v>0.5</v>
      </c>
    </row>
    <row r="44" customFormat="false" ht="15" hidden="false" customHeight="false" outlineLevel="0" collapsed="false">
      <c r="A44" s="26" t="s">
        <v>114</v>
      </c>
      <c r="B44" s="27" t="s">
        <v>92</v>
      </c>
      <c r="C44" s="27" t="s">
        <v>93</v>
      </c>
      <c r="D44" s="27" t="s">
        <v>95</v>
      </c>
      <c r="E44" s="27" t="s">
        <v>96</v>
      </c>
      <c r="F44" s="23"/>
      <c r="H44" s="5" t="s">
        <v>27</v>
      </c>
      <c r="I44" s="13" t="s">
        <v>49</v>
      </c>
      <c r="J44" s="14" t="n">
        <v>105975</v>
      </c>
      <c r="K44" s="16" t="n">
        <v>0.007</v>
      </c>
      <c r="L44" s="14" t="n">
        <v>105975</v>
      </c>
      <c r="M44" s="16" t="n">
        <v>0.003</v>
      </c>
      <c r="N44" s="14" t="n">
        <v>211950</v>
      </c>
      <c r="O44" s="14" t="n">
        <v>211950</v>
      </c>
      <c r="P44" s="18" t="n">
        <v>0</v>
      </c>
      <c r="Q44" s="16" t="n">
        <v>0.5</v>
      </c>
      <c r="R44" s="16" t="n">
        <v>0.5</v>
      </c>
    </row>
    <row r="45" customFormat="false" ht="15" hidden="false" customHeight="false" outlineLevel="0" collapsed="false">
      <c r="A45" s="13" t="s">
        <v>101</v>
      </c>
      <c r="B45" s="17" t="n">
        <v>0.3054</v>
      </c>
      <c r="C45" s="17" t="n">
        <v>0.6946</v>
      </c>
      <c r="D45" s="17" t="n">
        <v>1</v>
      </c>
      <c r="E45" s="14" t="n">
        <v>1</v>
      </c>
      <c r="F45" s="23"/>
      <c r="H45" s="21"/>
      <c r="I45" s="9" t="s">
        <v>50</v>
      </c>
      <c r="J45" s="11" t="n">
        <v>3500508</v>
      </c>
      <c r="K45" s="19" t="n">
        <v>0.233</v>
      </c>
      <c r="L45" s="11" t="n">
        <v>8880317</v>
      </c>
      <c r="M45" s="19" t="n">
        <v>0.252</v>
      </c>
      <c r="N45" s="11" t="n">
        <v>12380825</v>
      </c>
      <c r="O45" s="11" t="n">
        <v>4788582</v>
      </c>
      <c r="P45" s="20"/>
      <c r="Q45" s="19" t="n">
        <v>0.283</v>
      </c>
      <c r="R45" s="19" t="n">
        <v>0.717</v>
      </c>
    </row>
    <row r="46" customFormat="false" ht="15" hidden="false" customHeight="false" outlineLevel="0" collapsed="false">
      <c r="A46" s="13" t="s">
        <v>104</v>
      </c>
      <c r="B46" s="17" t="n">
        <v>0.2994</v>
      </c>
      <c r="C46" s="17" t="n">
        <v>0.7006</v>
      </c>
      <c r="D46" s="17" t="n">
        <v>1</v>
      </c>
      <c r="E46" s="14" t="n">
        <v>2</v>
      </c>
      <c r="F46" s="23"/>
      <c r="H46" s="21"/>
      <c r="I46" s="9" t="s">
        <v>51</v>
      </c>
      <c r="J46" s="11" t="n">
        <v>16366806</v>
      </c>
      <c r="K46" s="19" t="n">
        <v>1.088</v>
      </c>
      <c r="L46" s="11" t="n">
        <v>30987921</v>
      </c>
      <c r="M46" s="19" t="n">
        <v>0.879</v>
      </c>
      <c r="N46" s="11" t="n">
        <v>47354727</v>
      </c>
      <c r="O46" s="11" t="n">
        <v>39762484</v>
      </c>
      <c r="P46" s="20"/>
      <c r="Q46" s="19" t="n">
        <v>0.346</v>
      </c>
      <c r="R46" s="19" t="n">
        <v>0.654</v>
      </c>
    </row>
    <row r="47" customFormat="false" ht="15" hidden="false" customHeight="false" outlineLevel="0" collapsed="false">
      <c r="A47" s="13" t="s">
        <v>106</v>
      </c>
      <c r="B47" s="17" t="n">
        <v>0.2882</v>
      </c>
      <c r="C47" s="17" t="n">
        <v>0.7118</v>
      </c>
      <c r="D47" s="17" t="n">
        <v>1</v>
      </c>
      <c r="E47" s="14" t="n">
        <v>3</v>
      </c>
      <c r="F47" s="23"/>
      <c r="P47" s="23"/>
    </row>
    <row r="48" customFormat="false" ht="15" hidden="false" customHeight="false" outlineLevel="0" collapsed="false">
      <c r="A48" s="13" t="s">
        <v>108</v>
      </c>
      <c r="B48" s="17" t="n">
        <v>0.1735</v>
      </c>
      <c r="C48" s="17" t="n">
        <v>0.8265</v>
      </c>
      <c r="D48" s="17" t="n">
        <v>1</v>
      </c>
      <c r="E48" s="14" t="n">
        <v>4</v>
      </c>
      <c r="F48" s="23"/>
      <c r="H48" s="12"/>
      <c r="I48" s="12" t="s">
        <v>2</v>
      </c>
      <c r="J48" s="12" t="s">
        <v>92</v>
      </c>
      <c r="K48" s="12" t="s">
        <v>97</v>
      </c>
      <c r="L48" s="12" t="s">
        <v>93</v>
      </c>
      <c r="M48" s="12" t="s">
        <v>97</v>
      </c>
      <c r="N48" s="12" t="s">
        <v>98</v>
      </c>
      <c r="O48" s="12" t="s">
        <v>95</v>
      </c>
      <c r="P48" s="12" t="s">
        <v>96</v>
      </c>
      <c r="Q48" s="12" t="s">
        <v>99</v>
      </c>
      <c r="R48" s="12" t="s">
        <v>100</v>
      </c>
    </row>
    <row r="49" customFormat="false" ht="15" hidden="false" customHeight="false" outlineLevel="0" collapsed="false">
      <c r="A49" s="13" t="s">
        <v>19</v>
      </c>
      <c r="B49" s="17" t="n">
        <v>0.1382</v>
      </c>
      <c r="C49" s="17" t="n">
        <v>0.8618</v>
      </c>
      <c r="D49" s="17" t="n">
        <v>1</v>
      </c>
      <c r="E49" s="5"/>
      <c r="F49" s="23"/>
      <c r="H49" s="21"/>
      <c r="I49" s="9" t="s">
        <v>52</v>
      </c>
      <c r="J49" s="11" t="n">
        <v>16366806</v>
      </c>
      <c r="K49" s="19" t="n">
        <v>1.088</v>
      </c>
      <c r="L49" s="11" t="n">
        <v>30987921</v>
      </c>
      <c r="M49" s="19" t="n">
        <v>0.879</v>
      </c>
      <c r="N49" s="11" t="n">
        <v>47354727</v>
      </c>
      <c r="O49" s="11" t="n">
        <v>39762484</v>
      </c>
      <c r="P49" s="20" t="s">
        <v>102</v>
      </c>
      <c r="Q49" s="19" t="n">
        <v>0.346</v>
      </c>
      <c r="R49" s="19" t="n">
        <v>0.654</v>
      </c>
    </row>
    <row r="50" customFormat="false" ht="15" hidden="false" customHeight="false" outlineLevel="0" collapsed="false">
      <c r="A50" s="13" t="s">
        <v>20</v>
      </c>
      <c r="B50" s="17" t="n">
        <v>1</v>
      </c>
      <c r="C50" s="17" t="n">
        <v>0</v>
      </c>
      <c r="D50" s="17" t="n">
        <v>1</v>
      </c>
      <c r="E50" s="5"/>
      <c r="F50" s="23"/>
      <c r="H50" s="21"/>
      <c r="I50" s="9" t="s">
        <v>53</v>
      </c>
      <c r="J50" s="28" t="n">
        <v>-1319771</v>
      </c>
      <c r="K50" s="29" t="n">
        <v>-0.088</v>
      </c>
      <c r="L50" s="11" t="n">
        <v>4285347</v>
      </c>
      <c r="M50" s="19" t="n">
        <v>0.121</v>
      </c>
      <c r="N50" s="11" t="n">
        <v>2965575</v>
      </c>
      <c r="O50" s="11" t="n">
        <v>10557818</v>
      </c>
      <c r="P50" s="20"/>
      <c r="Q50" s="29" t="n">
        <v>-0.445</v>
      </c>
      <c r="R50" s="19" t="n">
        <v>1.445</v>
      </c>
    </row>
    <row r="51" customFormat="false" ht="15" hidden="false" customHeight="false" outlineLevel="0" collapsed="false">
      <c r="A51" s="13" t="s">
        <v>110</v>
      </c>
      <c r="B51" s="17" t="n">
        <v>0.3416</v>
      </c>
      <c r="C51" s="17" t="n">
        <v>0.6584</v>
      </c>
      <c r="D51" s="17" t="n">
        <v>1</v>
      </c>
      <c r="E51" s="5"/>
      <c r="F51" s="23"/>
      <c r="H51" s="5"/>
      <c r="I51" s="13" t="s">
        <v>54</v>
      </c>
      <c r="J51" s="14" t="n">
        <v>1477526</v>
      </c>
      <c r="K51" s="16" t="n">
        <v>0.098</v>
      </c>
      <c r="L51" s="14" t="n">
        <v>1477526</v>
      </c>
      <c r="M51" s="16" t="n">
        <v>0.042</v>
      </c>
      <c r="N51" s="14" t="n">
        <v>2955052</v>
      </c>
      <c r="O51" s="14" t="n">
        <v>2955052</v>
      </c>
      <c r="P51" s="18" t="n">
        <v>0</v>
      </c>
      <c r="Q51" s="16" t="n">
        <v>0.5</v>
      </c>
      <c r="R51" s="16" t="n">
        <v>0.5</v>
      </c>
    </row>
    <row r="52" customFormat="false" ht="15" hidden="false" customHeight="false" outlineLevel="0" collapsed="false">
      <c r="A52" s="13" t="s">
        <v>30</v>
      </c>
      <c r="B52" s="17" t="n">
        <v>0.1628</v>
      </c>
      <c r="C52" s="17" t="n">
        <v>0.8372</v>
      </c>
      <c r="D52" s="17" t="n">
        <v>1</v>
      </c>
      <c r="E52" s="5"/>
      <c r="F52" s="23"/>
      <c r="H52" s="5"/>
      <c r="I52" s="13" t="s">
        <v>55</v>
      </c>
      <c r="J52" s="14" t="n">
        <v>1062182</v>
      </c>
      <c r="K52" s="16" t="n">
        <v>0.071</v>
      </c>
      <c r="L52" s="14" t="n">
        <v>2622938</v>
      </c>
      <c r="M52" s="16" t="n">
        <v>0.074</v>
      </c>
      <c r="N52" s="14" t="n">
        <v>3685120</v>
      </c>
      <c r="O52" s="14" t="n">
        <v>3685120</v>
      </c>
      <c r="P52" s="18" t="n">
        <v>3</v>
      </c>
      <c r="Q52" s="16" t="n">
        <v>0.288</v>
      </c>
      <c r="R52" s="16" t="n">
        <v>0.712</v>
      </c>
    </row>
    <row r="53" customFormat="false" ht="15" hidden="false" customHeight="false" outlineLevel="0" collapsed="false">
      <c r="A53" s="13" t="s">
        <v>31</v>
      </c>
      <c r="B53" s="17" t="n">
        <v>0.7214</v>
      </c>
      <c r="C53" s="17" t="n">
        <v>0.2786</v>
      </c>
      <c r="D53" s="17" t="n">
        <v>1</v>
      </c>
      <c r="E53" s="5"/>
      <c r="F53" s="23"/>
      <c r="H53" s="5"/>
      <c r="I53" s="13" t="s">
        <v>23</v>
      </c>
      <c r="J53" s="14" t="n">
        <v>303314</v>
      </c>
      <c r="K53" s="16" t="n">
        <v>0.02</v>
      </c>
      <c r="L53" s="14" t="n">
        <v>749000</v>
      </c>
      <c r="M53" s="16" t="n">
        <v>0.021</v>
      </c>
      <c r="N53" s="14" t="n">
        <v>1052314</v>
      </c>
      <c r="O53" s="14" t="n">
        <v>1052314</v>
      </c>
      <c r="P53" s="18" t="n">
        <v>3</v>
      </c>
      <c r="Q53" s="16" t="n">
        <v>0.288</v>
      </c>
      <c r="R53" s="16" t="n">
        <v>0.712</v>
      </c>
    </row>
    <row r="54" customFormat="false" ht="15" hidden="false" customHeight="false" outlineLevel="0" collapsed="false">
      <c r="A54" s="13" t="s">
        <v>32</v>
      </c>
      <c r="B54" s="17" t="n">
        <v>0.9186</v>
      </c>
      <c r="C54" s="17" t="n">
        <v>0.0814</v>
      </c>
      <c r="D54" s="17" t="n">
        <v>1</v>
      </c>
      <c r="E54" s="5"/>
      <c r="F54" s="23"/>
      <c r="H54" s="5"/>
      <c r="I54" s="13" t="s">
        <v>24</v>
      </c>
      <c r="J54" s="14" t="n">
        <v>4345</v>
      </c>
      <c r="K54" s="16" t="n">
        <v>0</v>
      </c>
      <c r="L54" s="14" t="n">
        <v>10728</v>
      </c>
      <c r="M54" s="16" t="n">
        <v>0</v>
      </c>
      <c r="N54" s="14" t="n">
        <v>15073</v>
      </c>
      <c r="O54" s="14" t="n">
        <v>15073</v>
      </c>
      <c r="P54" s="18" t="n">
        <v>3</v>
      </c>
      <c r="Q54" s="16" t="n">
        <v>0.288</v>
      </c>
      <c r="R54" s="16" t="n">
        <v>0.712</v>
      </c>
    </row>
    <row r="55" customFormat="false" ht="15" hidden="false" customHeight="false" outlineLevel="0" collapsed="false">
      <c r="A55" s="13" t="s">
        <v>33</v>
      </c>
      <c r="B55" s="17" t="n">
        <v>1</v>
      </c>
      <c r="C55" s="17" t="n">
        <v>0</v>
      </c>
      <c r="D55" s="17" t="n">
        <v>1</v>
      </c>
      <c r="E55" s="5"/>
      <c r="F55" s="23"/>
      <c r="H55" s="5"/>
      <c r="I55" s="13" t="s">
        <v>56</v>
      </c>
      <c r="J55" s="14" t="n">
        <v>47255</v>
      </c>
      <c r="K55" s="16" t="n">
        <v>0.003</v>
      </c>
      <c r="L55" s="14" t="n">
        <v>47255</v>
      </c>
      <c r="M55" s="16" t="n">
        <v>0.001</v>
      </c>
      <c r="N55" s="14" t="n">
        <v>94510</v>
      </c>
      <c r="O55" s="14" t="n">
        <v>94510</v>
      </c>
      <c r="P55" s="18" t="n">
        <v>0</v>
      </c>
      <c r="Q55" s="16" t="n">
        <v>0.5</v>
      </c>
      <c r="R55" s="16" t="n">
        <v>0.5</v>
      </c>
    </row>
    <row r="56" customFormat="false" ht="15" hidden="false" customHeight="false" outlineLevel="0" collapsed="false">
      <c r="A56" s="13" t="s">
        <v>34</v>
      </c>
      <c r="B56" s="17" t="n">
        <v>0.4172</v>
      </c>
      <c r="C56" s="17" t="n">
        <v>0.5828</v>
      </c>
      <c r="D56" s="17" t="n">
        <v>1</v>
      </c>
      <c r="E56" s="5"/>
      <c r="F56" s="23"/>
      <c r="H56" s="5"/>
      <c r="I56" s="13" t="s">
        <v>57</v>
      </c>
      <c r="J56" s="14" t="n">
        <v>44646</v>
      </c>
      <c r="K56" s="16" t="n">
        <v>0.003</v>
      </c>
      <c r="L56" s="14" t="n">
        <v>110250</v>
      </c>
      <c r="M56" s="16" t="n">
        <v>0.003</v>
      </c>
      <c r="N56" s="14" t="n">
        <v>154896</v>
      </c>
      <c r="O56" s="14" t="n">
        <v>154896</v>
      </c>
      <c r="P56" s="18" t="n">
        <v>3</v>
      </c>
      <c r="Q56" s="16" t="n">
        <v>0.288</v>
      </c>
      <c r="R56" s="16" t="n">
        <v>0.712</v>
      </c>
    </row>
    <row r="57" customFormat="false" ht="15" hidden="false" customHeight="false" outlineLevel="0" collapsed="false">
      <c r="A57" s="13" t="s">
        <v>35</v>
      </c>
      <c r="B57" s="17" t="n">
        <v>0.402</v>
      </c>
      <c r="C57" s="17" t="n">
        <v>0.598</v>
      </c>
      <c r="D57" s="17" t="n">
        <v>1</v>
      </c>
      <c r="E57" s="5"/>
      <c r="F57" s="23"/>
      <c r="H57" s="5"/>
      <c r="I57" s="13" t="s">
        <v>58</v>
      </c>
      <c r="J57" s="14" t="n">
        <v>0</v>
      </c>
      <c r="K57" s="16" t="n">
        <v>0</v>
      </c>
      <c r="L57" s="14" t="n">
        <v>0</v>
      </c>
      <c r="M57" s="16" t="n">
        <v>0</v>
      </c>
      <c r="N57" s="14" t="n">
        <v>0</v>
      </c>
      <c r="O57" s="14" t="n">
        <v>0</v>
      </c>
      <c r="P57" s="18" t="n">
        <v>0</v>
      </c>
      <c r="Q57" s="22" t="s">
        <v>111</v>
      </c>
      <c r="R57" s="22" t="s">
        <v>111</v>
      </c>
    </row>
    <row r="58" customFormat="false" ht="15" hidden="false" customHeight="false" outlineLevel="0" collapsed="false">
      <c r="A58" s="13" t="s">
        <v>36</v>
      </c>
      <c r="B58" s="17" t="n">
        <v>0.1911</v>
      </c>
      <c r="C58" s="17" t="n">
        <v>0.8089</v>
      </c>
      <c r="D58" s="17" t="n">
        <v>1</v>
      </c>
      <c r="E58" s="5"/>
      <c r="F58" s="23"/>
      <c r="H58" s="5"/>
      <c r="I58" s="13" t="s">
        <v>59</v>
      </c>
      <c r="J58" s="14" t="n">
        <v>12217</v>
      </c>
      <c r="K58" s="16" t="n">
        <v>0.001</v>
      </c>
      <c r="L58" s="14" t="n">
        <v>27783</v>
      </c>
      <c r="M58" s="16" t="n">
        <v>0.001</v>
      </c>
      <c r="N58" s="14" t="n">
        <v>40000</v>
      </c>
      <c r="O58" s="14" t="n">
        <v>40000</v>
      </c>
      <c r="P58" s="18" t="n">
        <v>1</v>
      </c>
      <c r="Q58" s="16" t="n">
        <v>0.305</v>
      </c>
      <c r="R58" s="16" t="n">
        <v>0.695</v>
      </c>
    </row>
    <row r="59" customFormat="false" ht="15" hidden="false" customHeight="false" outlineLevel="0" collapsed="false">
      <c r="A59" s="13" t="s">
        <v>39</v>
      </c>
      <c r="B59" s="17" t="n">
        <v>0.0347</v>
      </c>
      <c r="C59" s="17" t="n">
        <v>0.9653</v>
      </c>
      <c r="D59" s="17" t="n">
        <v>1</v>
      </c>
      <c r="E59" s="5"/>
      <c r="F59" s="23"/>
      <c r="H59" s="5"/>
      <c r="I59" s="13" t="s">
        <v>60</v>
      </c>
      <c r="J59" s="14" t="n">
        <v>0</v>
      </c>
      <c r="K59" s="16" t="n">
        <v>0</v>
      </c>
      <c r="L59" s="14" t="n">
        <v>0</v>
      </c>
      <c r="M59" s="16" t="n">
        <v>0</v>
      </c>
      <c r="N59" s="14" t="n">
        <v>0</v>
      </c>
      <c r="O59" s="14" t="n">
        <v>0</v>
      </c>
      <c r="P59" s="18" t="n">
        <v>0</v>
      </c>
      <c r="Q59" s="22" t="s">
        <v>111</v>
      </c>
      <c r="R59" s="22" t="s">
        <v>111</v>
      </c>
    </row>
    <row r="60" customFormat="false" ht="15" hidden="false" customHeight="false" outlineLevel="0" collapsed="false">
      <c r="A60" s="13" t="s">
        <v>112</v>
      </c>
      <c r="B60" s="17" t="n">
        <v>0.8797</v>
      </c>
      <c r="C60" s="17" t="n">
        <v>0.1203</v>
      </c>
      <c r="D60" s="17" t="n">
        <v>1</v>
      </c>
      <c r="E60" s="5"/>
      <c r="F60" s="23"/>
      <c r="H60" s="5"/>
      <c r="I60" s="13" t="s">
        <v>42</v>
      </c>
      <c r="J60" s="14" t="n">
        <v>25336</v>
      </c>
      <c r="K60" s="16" t="n">
        <v>0.002</v>
      </c>
      <c r="L60" s="14" t="n">
        <v>62564</v>
      </c>
      <c r="M60" s="16" t="n">
        <v>0.002</v>
      </c>
      <c r="N60" s="14" t="n">
        <v>87900</v>
      </c>
      <c r="O60" s="14" t="n">
        <v>87900</v>
      </c>
      <c r="P60" s="18" t="n">
        <v>3</v>
      </c>
      <c r="Q60" s="16" t="n">
        <v>0.288</v>
      </c>
      <c r="R60" s="16" t="n">
        <v>0.712</v>
      </c>
    </row>
    <row r="61" customFormat="false" ht="15" hidden="false" customHeight="false" outlineLevel="0" collapsed="false">
      <c r="F61" s="23"/>
      <c r="H61" s="5"/>
      <c r="I61" s="13" t="s">
        <v>44</v>
      </c>
      <c r="J61" s="14" t="n">
        <v>700</v>
      </c>
      <c r="K61" s="16" t="n">
        <v>0</v>
      </c>
      <c r="L61" s="14" t="n">
        <v>700</v>
      </c>
      <c r="M61" s="16" t="n">
        <v>0</v>
      </c>
      <c r="N61" s="14" t="n">
        <v>1400</v>
      </c>
      <c r="O61" s="14" t="n">
        <v>1400</v>
      </c>
      <c r="P61" s="18" t="n">
        <v>0</v>
      </c>
      <c r="Q61" s="16" t="n">
        <v>0.5</v>
      </c>
      <c r="R61" s="16" t="n">
        <v>0.5</v>
      </c>
    </row>
    <row r="62" customFormat="false" ht="15" hidden="false" customHeight="false" outlineLevel="0" collapsed="false">
      <c r="A62" s="30" t="s">
        <v>2</v>
      </c>
      <c r="B62" s="30" t="s">
        <v>92</v>
      </c>
      <c r="C62" s="30" t="s">
        <v>93</v>
      </c>
      <c r="D62" s="30" t="s">
        <v>94</v>
      </c>
      <c r="E62" s="30" t="s">
        <v>115</v>
      </c>
      <c r="F62" s="23"/>
      <c r="H62" s="5"/>
      <c r="I62" s="13" t="s">
        <v>61</v>
      </c>
      <c r="J62" s="14" t="n">
        <v>4259</v>
      </c>
      <c r="K62" s="16" t="n">
        <v>0</v>
      </c>
      <c r="L62" s="14" t="n">
        <v>4259</v>
      </c>
      <c r="M62" s="16" t="n">
        <v>0</v>
      </c>
      <c r="N62" s="14" t="n">
        <v>8518</v>
      </c>
      <c r="O62" s="14" t="n">
        <v>8518</v>
      </c>
      <c r="P62" s="18" t="n">
        <v>0</v>
      </c>
      <c r="Q62" s="16" t="n">
        <v>0.5</v>
      </c>
      <c r="R62" s="16" t="n">
        <v>0.5</v>
      </c>
    </row>
    <row r="63" customFormat="false" ht="15" hidden="false" customHeight="false" outlineLevel="0" collapsed="false">
      <c r="A63" s="31" t="s">
        <v>116</v>
      </c>
      <c r="B63" s="32" t="n">
        <v>404895</v>
      </c>
      <c r="C63" s="32" t="n">
        <v>540291</v>
      </c>
      <c r="D63" s="32" t="n">
        <v>498560</v>
      </c>
      <c r="E63" s="33"/>
      <c r="F63" s="23"/>
      <c r="H63" s="5"/>
      <c r="I63" s="13" t="s">
        <v>62</v>
      </c>
      <c r="J63" s="14" t="n">
        <v>26339</v>
      </c>
      <c r="K63" s="16" t="n">
        <v>0.002</v>
      </c>
      <c r="L63" s="14" t="n">
        <v>26339</v>
      </c>
      <c r="M63" s="16" t="n">
        <v>0.001</v>
      </c>
      <c r="N63" s="14" t="n">
        <v>52678</v>
      </c>
      <c r="O63" s="14" t="n">
        <v>52678</v>
      </c>
      <c r="P63" s="18" t="n">
        <v>0</v>
      </c>
      <c r="Q63" s="16" t="n">
        <v>0.5</v>
      </c>
      <c r="R63" s="16" t="n">
        <v>0.5</v>
      </c>
    </row>
    <row r="64" customFormat="false" ht="15" hidden="false" customHeight="false" outlineLevel="0" collapsed="false">
      <c r="A64" s="31" t="s">
        <v>117</v>
      </c>
      <c r="B64" s="34" t="n">
        <v>121.27</v>
      </c>
      <c r="C64" s="34" t="n">
        <v>57.87</v>
      </c>
      <c r="D64" s="34" t="n">
        <v>68.87</v>
      </c>
      <c r="E64" s="33"/>
      <c r="F64" s="23"/>
      <c r="H64" s="5"/>
      <c r="I64" s="13" t="s">
        <v>63</v>
      </c>
      <c r="J64" s="14" t="n">
        <v>0</v>
      </c>
      <c r="K64" s="16" t="n">
        <v>0</v>
      </c>
      <c r="L64" s="14" t="n">
        <v>0</v>
      </c>
      <c r="M64" s="16" t="n">
        <v>0</v>
      </c>
      <c r="N64" s="14" t="n">
        <v>0</v>
      </c>
      <c r="O64" s="14" t="n">
        <v>0</v>
      </c>
      <c r="P64" s="18" t="n">
        <v>0</v>
      </c>
      <c r="Q64" s="22" t="s">
        <v>111</v>
      </c>
      <c r="R64" s="22" t="s">
        <v>111</v>
      </c>
    </row>
    <row r="65" customFormat="false" ht="15" hidden="false" customHeight="false" outlineLevel="0" collapsed="false">
      <c r="A65" s="31" t="s">
        <v>118</v>
      </c>
      <c r="B65" s="34" t="n">
        <v>111.82</v>
      </c>
      <c r="C65" s="34" t="n">
        <v>48.42</v>
      </c>
      <c r="D65" s="5"/>
      <c r="E65" s="33"/>
      <c r="F65" s="23"/>
      <c r="H65" s="5"/>
      <c r="I65" s="13" t="s">
        <v>64</v>
      </c>
      <c r="J65" s="14" t="n">
        <v>57819</v>
      </c>
      <c r="K65" s="16" t="n">
        <v>0.004</v>
      </c>
      <c r="L65" s="14" t="n">
        <v>142779</v>
      </c>
      <c r="M65" s="16" t="n">
        <v>0.004</v>
      </c>
      <c r="N65" s="14" t="n">
        <v>200598</v>
      </c>
      <c r="O65" s="14" t="n">
        <v>200598</v>
      </c>
      <c r="P65" s="18" t="n">
        <v>3</v>
      </c>
      <c r="Q65" s="16" t="n">
        <v>0.288</v>
      </c>
      <c r="R65" s="16" t="n">
        <v>0.712</v>
      </c>
    </row>
    <row r="66" customFormat="false" ht="15" hidden="false" customHeight="false" outlineLevel="0" collapsed="false">
      <c r="A66" s="31" t="s">
        <v>119</v>
      </c>
      <c r="B66" s="32" t="n">
        <v>325956</v>
      </c>
      <c r="C66" s="32" t="n">
        <v>286686</v>
      </c>
      <c r="D66" s="32" t="n">
        <v>298790</v>
      </c>
      <c r="E66" s="33"/>
      <c r="F66" s="23"/>
      <c r="H66" s="5"/>
      <c r="I66" s="13" t="s">
        <v>38</v>
      </c>
      <c r="J66" s="14" t="n">
        <v>61698</v>
      </c>
      <c r="K66" s="16" t="n">
        <v>0.004</v>
      </c>
      <c r="L66" s="14" t="n">
        <v>61698</v>
      </c>
      <c r="M66" s="16" t="n">
        <v>0.002</v>
      </c>
      <c r="N66" s="14" t="n">
        <v>123395</v>
      </c>
      <c r="O66" s="14" t="n">
        <v>123395</v>
      </c>
      <c r="P66" s="18" t="n">
        <v>0</v>
      </c>
      <c r="Q66" s="16" t="n">
        <v>0.5</v>
      </c>
      <c r="R66" s="16" t="n">
        <v>0.5</v>
      </c>
    </row>
    <row r="67" customFormat="false" ht="15" hidden="false" customHeight="false" outlineLevel="0" collapsed="false">
      <c r="A67" s="31" t="s">
        <v>120</v>
      </c>
      <c r="B67" s="32" t="n">
        <v>384150</v>
      </c>
      <c r="C67" s="32" t="n">
        <v>348211</v>
      </c>
      <c r="D67" s="32" t="n">
        <v>359288</v>
      </c>
      <c r="E67" s="33"/>
      <c r="F67" s="23"/>
      <c r="H67" s="5"/>
      <c r="I67" s="13" t="s">
        <v>65</v>
      </c>
      <c r="J67" s="14" t="n">
        <v>45000</v>
      </c>
      <c r="K67" s="16" t="n">
        <v>0.003</v>
      </c>
      <c r="L67" s="14" t="n">
        <v>45000</v>
      </c>
      <c r="M67" s="16" t="n">
        <v>0.001</v>
      </c>
      <c r="N67" s="14" t="n">
        <v>90000</v>
      </c>
      <c r="O67" s="14" t="n">
        <v>90000</v>
      </c>
      <c r="P67" s="18" t="n">
        <v>0</v>
      </c>
      <c r="Q67" s="16" t="n">
        <v>0.5</v>
      </c>
      <c r="R67" s="16" t="n">
        <v>0.5</v>
      </c>
    </row>
    <row r="68" customFormat="false" ht="15" hidden="false" customHeight="false" outlineLevel="0" collapsed="false">
      <c r="A68" s="13" t="s">
        <v>121</v>
      </c>
      <c r="B68" s="14" t="n">
        <v>25044675</v>
      </c>
      <c r="C68" s="14" t="n">
        <v>39417497</v>
      </c>
      <c r="D68" s="14" t="n">
        <v>63436712</v>
      </c>
      <c r="E68" s="33"/>
      <c r="F68" s="23"/>
      <c r="H68" s="5"/>
      <c r="I68" s="13" t="s">
        <v>66</v>
      </c>
      <c r="J68" s="14" t="n">
        <v>2497</v>
      </c>
      <c r="K68" s="16" t="n">
        <v>0</v>
      </c>
      <c r="L68" s="14" t="n">
        <v>6166</v>
      </c>
      <c r="M68" s="16" t="n">
        <v>0</v>
      </c>
      <c r="N68" s="14" t="n">
        <v>8663</v>
      </c>
      <c r="O68" s="14" t="n">
        <v>8663</v>
      </c>
      <c r="P68" s="18" t="n">
        <v>3</v>
      </c>
      <c r="Q68" s="16" t="n">
        <v>0.288</v>
      </c>
      <c r="R68" s="16" t="n">
        <v>0.712</v>
      </c>
    </row>
    <row r="69" customFormat="false" ht="15" hidden="false" customHeight="false" outlineLevel="0" collapsed="false">
      <c r="A69" s="13" t="s">
        <v>122</v>
      </c>
      <c r="B69" s="14" t="n">
        <v>15047034</v>
      </c>
      <c r="C69" s="14" t="n">
        <v>35273268</v>
      </c>
      <c r="D69" s="14" t="n">
        <v>50320302</v>
      </c>
      <c r="E69" s="33"/>
      <c r="F69" s="23"/>
      <c r="H69" s="5"/>
      <c r="I69" s="13" t="s">
        <v>67</v>
      </c>
      <c r="J69" s="14" t="n">
        <v>6376</v>
      </c>
      <c r="K69" s="16" t="n">
        <v>0</v>
      </c>
      <c r="L69" s="14" t="n">
        <v>14924</v>
      </c>
      <c r="M69" s="16" t="n">
        <v>0</v>
      </c>
      <c r="N69" s="14" t="n">
        <v>21300</v>
      </c>
      <c r="O69" s="14" t="n">
        <v>21300</v>
      </c>
      <c r="P69" s="18" t="n">
        <v>2</v>
      </c>
      <c r="Q69" s="16" t="n">
        <v>0.299</v>
      </c>
      <c r="R69" s="16" t="n">
        <v>0.701</v>
      </c>
    </row>
    <row r="70" customFormat="false" ht="15" hidden="false" customHeight="false" outlineLevel="0" collapsed="false">
      <c r="A70" s="13" t="s">
        <v>123</v>
      </c>
      <c r="B70" s="35" t="n">
        <v>-0.6644</v>
      </c>
      <c r="C70" s="35" t="n">
        <v>-0.1175</v>
      </c>
      <c r="D70" s="35" t="n">
        <v>-0.2607</v>
      </c>
      <c r="E70" s="33" t="s">
        <v>124</v>
      </c>
      <c r="F70" s="23"/>
      <c r="H70" s="5"/>
      <c r="I70" s="13" t="s">
        <v>45</v>
      </c>
      <c r="J70" s="14" t="n">
        <v>0</v>
      </c>
      <c r="K70" s="16" t="n">
        <v>0</v>
      </c>
      <c r="L70" s="14" t="n">
        <v>0</v>
      </c>
      <c r="M70" s="16" t="n">
        <v>0</v>
      </c>
      <c r="N70" s="14" t="n">
        <v>0</v>
      </c>
      <c r="O70" s="14" t="n">
        <v>0</v>
      </c>
      <c r="P70" s="18" t="n">
        <v>3</v>
      </c>
      <c r="Q70" s="22" t="s">
        <v>111</v>
      </c>
      <c r="R70" s="22" t="s">
        <v>111</v>
      </c>
    </row>
    <row r="71" customFormat="false" ht="15" hidden="false" customHeight="false" outlineLevel="0" collapsed="false">
      <c r="A71" s="13" t="s">
        <v>125</v>
      </c>
      <c r="B71" s="17" t="n">
        <v>0.9488</v>
      </c>
      <c r="C71" s="17" t="n">
        <v>0.6445</v>
      </c>
      <c r="D71" s="17" t="n">
        <v>0.7207</v>
      </c>
      <c r="E71" s="33" t="s">
        <v>126</v>
      </c>
      <c r="F71" s="23"/>
      <c r="H71" s="5"/>
      <c r="I71" s="13" t="s">
        <v>68</v>
      </c>
      <c r="J71" s="14" t="n">
        <v>0</v>
      </c>
      <c r="K71" s="16" t="n">
        <v>0</v>
      </c>
      <c r="L71" s="14" t="n">
        <v>0</v>
      </c>
      <c r="M71" s="16" t="n">
        <v>0</v>
      </c>
      <c r="N71" s="14" t="n">
        <v>0</v>
      </c>
      <c r="O71" s="14" t="n">
        <v>0</v>
      </c>
      <c r="P71" s="18" t="n">
        <v>3</v>
      </c>
      <c r="Q71" s="22" t="s">
        <v>111</v>
      </c>
      <c r="R71" s="22" t="s">
        <v>111</v>
      </c>
    </row>
    <row r="72" customFormat="false" ht="15" hidden="false" customHeight="false" outlineLevel="0" collapsed="false">
      <c r="A72" s="31" t="s">
        <v>127</v>
      </c>
      <c r="B72" s="17" t="n">
        <v>0.4141</v>
      </c>
      <c r="C72" s="17" t="n">
        <v>0.6282</v>
      </c>
      <c r="D72" s="17" t="n">
        <v>0.5562</v>
      </c>
      <c r="E72" s="36" t="s">
        <v>128</v>
      </c>
      <c r="F72" s="23"/>
      <c r="H72" s="5"/>
      <c r="I72" s="13" t="s">
        <v>69</v>
      </c>
      <c r="J72" s="14" t="n">
        <v>120000</v>
      </c>
      <c r="K72" s="16" t="n">
        <v>0.008</v>
      </c>
      <c r="L72" s="14" t="n">
        <v>120000</v>
      </c>
      <c r="M72" s="16" t="n">
        <v>0.003</v>
      </c>
      <c r="N72" s="14" t="n">
        <v>240000</v>
      </c>
      <c r="O72" s="14" t="n">
        <v>240000</v>
      </c>
      <c r="P72" s="18" t="n">
        <v>0</v>
      </c>
      <c r="Q72" s="16" t="n">
        <v>0.5</v>
      </c>
      <c r="R72" s="16" t="n">
        <v>0.5</v>
      </c>
    </row>
    <row r="73" customFormat="false" ht="15" hidden="false" customHeight="false" outlineLevel="0" collapsed="false">
      <c r="A73" s="13" t="s">
        <v>129</v>
      </c>
      <c r="B73" s="17" t="n">
        <v>1.6644</v>
      </c>
      <c r="C73" s="17" t="n">
        <v>1.1175</v>
      </c>
      <c r="D73" s="17" t="n">
        <v>1.2607</v>
      </c>
      <c r="E73" s="33" t="s">
        <v>130</v>
      </c>
      <c r="F73" s="23"/>
      <c r="H73" s="5"/>
      <c r="I73" s="13" t="s">
        <v>70</v>
      </c>
      <c r="J73" s="14" t="n">
        <v>0</v>
      </c>
      <c r="K73" s="16" t="n">
        <v>0</v>
      </c>
      <c r="L73" s="14" t="n">
        <v>0</v>
      </c>
      <c r="M73" s="16" t="n">
        <v>0</v>
      </c>
      <c r="N73" s="14" t="n">
        <v>0</v>
      </c>
      <c r="O73" s="14" t="n">
        <v>0</v>
      </c>
      <c r="P73" s="18" t="n">
        <v>0</v>
      </c>
      <c r="Q73" s="22" t="s">
        <v>111</v>
      </c>
      <c r="R73" s="22" t="s">
        <v>111</v>
      </c>
    </row>
    <row r="74" customFormat="false" ht="15" hidden="false" customHeight="false" outlineLevel="0" collapsed="false">
      <c r="A74" s="13" t="s">
        <v>131</v>
      </c>
      <c r="B74" s="14" t="n">
        <v>206518</v>
      </c>
      <c r="C74" s="14" t="n">
        <v>681088</v>
      </c>
      <c r="D74" s="14" t="n">
        <v>921097</v>
      </c>
      <c r="E74" s="36" t="s">
        <v>132</v>
      </c>
      <c r="F74" s="23"/>
      <c r="H74" s="5"/>
      <c r="I74" s="13" t="s">
        <v>40</v>
      </c>
      <c r="J74" s="14" t="n">
        <v>0</v>
      </c>
      <c r="K74" s="16" t="n">
        <v>0</v>
      </c>
      <c r="L74" s="14" t="n">
        <v>0</v>
      </c>
      <c r="M74" s="16" t="n">
        <v>0</v>
      </c>
      <c r="N74" s="14" t="n">
        <v>0</v>
      </c>
      <c r="O74" s="14" t="n">
        <v>0</v>
      </c>
      <c r="P74" s="18" t="n">
        <v>3</v>
      </c>
      <c r="Q74" s="22" t="s">
        <v>111</v>
      </c>
      <c r="R74" s="22" t="s">
        <v>111</v>
      </c>
    </row>
    <row r="75" customFormat="false" ht="15" hidden="false" customHeight="false" outlineLevel="0" collapsed="false">
      <c r="A75" s="13" t="s">
        <v>133</v>
      </c>
      <c r="B75" s="35" t="n">
        <v>-0.3531</v>
      </c>
      <c r="C75" s="35" t="n">
        <v>-0.0729</v>
      </c>
      <c r="D75" s="35" t="n">
        <v>-0.1567</v>
      </c>
      <c r="E75" s="36" t="s">
        <v>134</v>
      </c>
      <c r="F75" s="23"/>
      <c r="H75" s="5"/>
      <c r="I75" s="13" t="s">
        <v>48</v>
      </c>
      <c r="J75" s="14" t="n">
        <v>111125</v>
      </c>
      <c r="K75" s="16" t="n">
        <v>0.007</v>
      </c>
      <c r="L75" s="14" t="n">
        <v>111125</v>
      </c>
      <c r="M75" s="16" t="n">
        <v>0.003</v>
      </c>
      <c r="N75" s="14" t="n">
        <v>222250</v>
      </c>
      <c r="O75" s="14" t="n">
        <v>222250</v>
      </c>
      <c r="P75" s="18" t="n">
        <v>0</v>
      </c>
      <c r="Q75" s="16" t="n">
        <v>0.5</v>
      </c>
      <c r="R75" s="16" t="n">
        <v>0.5</v>
      </c>
    </row>
    <row r="76" customFormat="false" ht="15" hidden="false" customHeight="false" outlineLevel="0" collapsed="false">
      <c r="F76" s="23"/>
      <c r="H76" s="5"/>
      <c r="I76" s="13" t="s">
        <v>71</v>
      </c>
      <c r="J76" s="14" t="n">
        <v>83000</v>
      </c>
      <c r="K76" s="16" t="n">
        <v>0.006</v>
      </c>
      <c r="L76" s="14" t="n">
        <v>83000</v>
      </c>
      <c r="M76" s="16" t="n">
        <v>0.002</v>
      </c>
      <c r="N76" s="14" t="n">
        <v>166000</v>
      </c>
      <c r="O76" s="14" t="n">
        <v>166000</v>
      </c>
      <c r="P76" s="18" t="n">
        <v>0</v>
      </c>
      <c r="Q76" s="16" t="n">
        <v>0.5</v>
      </c>
      <c r="R76" s="16" t="n">
        <v>0.5</v>
      </c>
    </row>
    <row r="77" customFormat="false" ht="15" hidden="false" customHeight="false" outlineLevel="0" collapsed="false">
      <c r="F77" s="23"/>
      <c r="H77" s="5"/>
      <c r="I77" s="31"/>
      <c r="J77" s="14" t="n">
        <v>0</v>
      </c>
      <c r="K77" s="16" t="n">
        <v>0</v>
      </c>
      <c r="L77" s="14" t="n">
        <v>0</v>
      </c>
      <c r="M77" s="16" t="n">
        <v>0</v>
      </c>
      <c r="N77" s="14" t="n">
        <v>0</v>
      </c>
      <c r="O77" s="14" t="n">
        <v>0</v>
      </c>
      <c r="P77" s="18" t="n">
        <v>0</v>
      </c>
      <c r="Q77" s="22" t="s">
        <v>111</v>
      </c>
      <c r="R77" s="22" t="s">
        <v>111</v>
      </c>
    </row>
    <row r="78" customFormat="false" ht="15" hidden="false" customHeight="false" outlineLevel="0" collapsed="false">
      <c r="F78" s="23"/>
      <c r="H78" s="21" t="s">
        <v>27</v>
      </c>
      <c r="I78" s="9" t="s">
        <v>72</v>
      </c>
      <c r="J78" s="11" t="n">
        <v>3495634</v>
      </c>
      <c r="K78" s="19" t="n">
        <v>0.232</v>
      </c>
      <c r="L78" s="11" t="n">
        <v>5724033</v>
      </c>
      <c r="M78" s="19" t="n">
        <v>0.162</v>
      </c>
      <c r="N78" s="11" t="n">
        <v>9219667</v>
      </c>
      <c r="O78" s="11" t="n">
        <v>9219667</v>
      </c>
      <c r="P78" s="20"/>
      <c r="Q78" s="19" t="n">
        <v>0.379</v>
      </c>
      <c r="R78" s="19" t="n">
        <v>0.621</v>
      </c>
    </row>
    <row r="79" customFormat="false" ht="15" hidden="false" customHeight="false" outlineLevel="0" collapsed="false">
      <c r="F79" s="23"/>
      <c r="H79" s="21"/>
      <c r="I79" s="9" t="s">
        <v>73</v>
      </c>
      <c r="J79" s="28" t="n">
        <v>-4815405</v>
      </c>
      <c r="K79" s="29" t="n">
        <v>-0.32</v>
      </c>
      <c r="L79" s="28" t="n">
        <v>-1438686</v>
      </c>
      <c r="M79" s="29" t="n">
        <v>-0.041</v>
      </c>
      <c r="N79" s="28" t="n">
        <v>-6254092</v>
      </c>
      <c r="O79" s="11" t="n">
        <v>1338151</v>
      </c>
      <c r="P79" s="20"/>
      <c r="Q79" s="19" t="n">
        <v>0.77</v>
      </c>
      <c r="R79" s="19" t="n">
        <v>0.23</v>
      </c>
    </row>
    <row r="80" customFormat="false" ht="15" hidden="false" customHeight="false" outlineLevel="0" collapsed="false">
      <c r="F80" s="23"/>
      <c r="H80" s="5"/>
      <c r="I80" s="13" t="s">
        <v>74</v>
      </c>
      <c r="J80" s="14" t="n">
        <v>3778</v>
      </c>
      <c r="K80" s="16" t="n">
        <v>0</v>
      </c>
      <c r="L80" s="14" t="n">
        <v>8593</v>
      </c>
      <c r="M80" s="16" t="n">
        <v>0</v>
      </c>
      <c r="N80" s="14" t="n">
        <v>12371</v>
      </c>
      <c r="O80" s="14" t="n">
        <v>12371</v>
      </c>
      <c r="P80" s="18" t="n">
        <v>1</v>
      </c>
      <c r="Q80" s="16" t="n">
        <v>0.305</v>
      </c>
      <c r="R80" s="16" t="n">
        <v>0.695</v>
      </c>
    </row>
    <row r="81" customFormat="false" ht="15" hidden="false" customHeight="false" outlineLevel="0" collapsed="false">
      <c r="F81" s="23"/>
      <c r="H81" s="5"/>
      <c r="I81" s="13" t="s">
        <v>75</v>
      </c>
      <c r="J81" s="14" t="n">
        <v>8399</v>
      </c>
      <c r="K81" s="16" t="n">
        <v>0.001</v>
      </c>
      <c r="L81" s="14" t="n">
        <v>19101</v>
      </c>
      <c r="M81" s="16" t="n">
        <v>0.001</v>
      </c>
      <c r="N81" s="14" t="n">
        <v>27500</v>
      </c>
      <c r="O81" s="14" t="n">
        <v>27500</v>
      </c>
      <c r="P81" s="18" t="n">
        <v>1</v>
      </c>
      <c r="Q81" s="16" t="n">
        <v>0.305</v>
      </c>
      <c r="R81" s="16" t="n">
        <v>0.695</v>
      </c>
    </row>
    <row r="82" customFormat="false" ht="15" hidden="false" customHeight="false" outlineLevel="0" collapsed="false">
      <c r="F82" s="23"/>
      <c r="H82" s="5"/>
      <c r="I82" s="13" t="s">
        <v>76</v>
      </c>
      <c r="J82" s="14" t="n">
        <v>27489</v>
      </c>
      <c r="K82" s="16" t="n">
        <v>0.002</v>
      </c>
      <c r="L82" s="14" t="n">
        <v>62511</v>
      </c>
      <c r="M82" s="16" t="n">
        <v>0.002</v>
      </c>
      <c r="N82" s="14" t="n">
        <v>90000</v>
      </c>
      <c r="O82" s="14" t="n">
        <v>90000</v>
      </c>
      <c r="P82" s="18" t="n">
        <v>1</v>
      </c>
      <c r="Q82" s="16" t="n">
        <v>0.305</v>
      </c>
      <c r="R82" s="16" t="n">
        <v>0.695</v>
      </c>
    </row>
    <row r="83" customFormat="false" ht="15" hidden="false" customHeight="false" outlineLevel="0" collapsed="false">
      <c r="F83" s="23"/>
      <c r="H83" s="5"/>
      <c r="I83" s="13" t="s">
        <v>77</v>
      </c>
      <c r="J83" s="14" t="n">
        <v>4376</v>
      </c>
      <c r="K83" s="16" t="n">
        <v>0</v>
      </c>
      <c r="L83" s="14" t="n">
        <v>9953</v>
      </c>
      <c r="M83" s="16" t="n">
        <v>0</v>
      </c>
      <c r="N83" s="14" t="n">
        <v>14329</v>
      </c>
      <c r="O83" s="14" t="n">
        <v>14329</v>
      </c>
      <c r="P83" s="18" t="n">
        <v>1</v>
      </c>
      <c r="Q83" s="16" t="n">
        <v>0.305</v>
      </c>
      <c r="R83" s="16" t="n">
        <v>0.695</v>
      </c>
    </row>
    <row r="84" customFormat="false" ht="15" hidden="false" customHeight="false" outlineLevel="0" collapsed="false">
      <c r="F84" s="23"/>
      <c r="H84" s="5"/>
      <c r="I84" s="31"/>
      <c r="J84" s="14" t="n">
        <v>0</v>
      </c>
      <c r="K84" s="16" t="n">
        <v>0</v>
      </c>
      <c r="L84" s="14" t="n">
        <v>0</v>
      </c>
      <c r="M84" s="16" t="n">
        <v>0</v>
      </c>
      <c r="N84" s="14" t="n">
        <v>0</v>
      </c>
      <c r="O84" s="14" t="n">
        <v>0</v>
      </c>
      <c r="P84" s="18" t="n">
        <v>1</v>
      </c>
      <c r="Q84" s="22" t="s">
        <v>111</v>
      </c>
      <c r="R84" s="22" t="s">
        <v>111</v>
      </c>
    </row>
    <row r="85" customFormat="false" ht="15" hidden="false" customHeight="false" outlineLevel="0" collapsed="false">
      <c r="F85" s="23"/>
      <c r="H85" s="21"/>
      <c r="I85" s="9" t="s">
        <v>78</v>
      </c>
      <c r="J85" s="11" t="n">
        <v>44043</v>
      </c>
      <c r="K85" s="19" t="n">
        <v>0.003</v>
      </c>
      <c r="L85" s="11" t="n">
        <v>100157</v>
      </c>
      <c r="M85" s="19" t="n">
        <v>0.003</v>
      </c>
      <c r="N85" s="11" t="n">
        <v>144200</v>
      </c>
      <c r="O85" s="11" t="n">
        <v>144200</v>
      </c>
      <c r="P85" s="20"/>
      <c r="Q85" s="19" t="n">
        <v>0.305</v>
      </c>
      <c r="R85" s="19" t="n">
        <v>0.695</v>
      </c>
    </row>
    <row r="86" customFormat="false" ht="15" hidden="false" customHeight="false" outlineLevel="0" collapsed="false">
      <c r="F86" s="23"/>
      <c r="H86" s="5"/>
      <c r="I86" s="13" t="s">
        <v>79</v>
      </c>
      <c r="J86" s="14" t="n">
        <v>535893</v>
      </c>
      <c r="K86" s="16" t="n">
        <v>0.036</v>
      </c>
      <c r="L86" s="14" t="n">
        <v>1218673</v>
      </c>
      <c r="M86" s="16" t="n">
        <v>0.035</v>
      </c>
      <c r="N86" s="14" t="n">
        <v>1754566</v>
      </c>
      <c r="O86" s="14" t="n">
        <v>1754566</v>
      </c>
      <c r="P86" s="18" t="n">
        <v>1</v>
      </c>
      <c r="Q86" s="16" t="n">
        <v>0.305</v>
      </c>
      <c r="R86" s="16" t="n">
        <v>0.695</v>
      </c>
    </row>
    <row r="87" customFormat="false" ht="15" hidden="false" customHeight="false" outlineLevel="0" collapsed="false">
      <c r="F87" s="23"/>
      <c r="H87" s="5"/>
      <c r="I87" s="13" t="s">
        <v>80</v>
      </c>
      <c r="J87" s="14" t="n">
        <v>6363</v>
      </c>
      <c r="K87" s="16" t="n">
        <v>0</v>
      </c>
      <c r="L87" s="14" t="n">
        <v>14471</v>
      </c>
      <c r="M87" s="16" t="n">
        <v>0</v>
      </c>
      <c r="N87" s="14" t="n">
        <v>20834</v>
      </c>
      <c r="O87" s="14" t="n">
        <v>20834</v>
      </c>
      <c r="P87" s="18" t="n">
        <v>1</v>
      </c>
      <c r="Q87" s="16" t="n">
        <v>0.305</v>
      </c>
      <c r="R87" s="16" t="n">
        <v>0.695</v>
      </c>
    </row>
    <row r="88" customFormat="false" ht="15" hidden="false" customHeight="false" outlineLevel="0" collapsed="false">
      <c r="F88" s="23"/>
      <c r="H88" s="5"/>
      <c r="I88" s="13" t="s">
        <v>62</v>
      </c>
      <c r="J88" s="14" t="n">
        <v>0</v>
      </c>
      <c r="K88" s="16" t="n">
        <v>0</v>
      </c>
      <c r="L88" s="14" t="n">
        <v>0</v>
      </c>
      <c r="M88" s="16" t="n">
        <v>0</v>
      </c>
      <c r="N88" s="14" t="n">
        <v>0</v>
      </c>
      <c r="O88" s="14" t="n">
        <v>0</v>
      </c>
      <c r="P88" s="18" t="n">
        <v>1</v>
      </c>
      <c r="Q88" s="22" t="s">
        <v>111</v>
      </c>
      <c r="R88" s="22" t="s">
        <v>111</v>
      </c>
    </row>
    <row r="89" customFormat="false" ht="15" hidden="false" customHeight="false" outlineLevel="0" collapsed="false">
      <c r="F89" s="23"/>
      <c r="H89" s="5"/>
      <c r="I89" s="13" t="s">
        <v>81</v>
      </c>
      <c r="J89" s="14" t="n">
        <v>0</v>
      </c>
      <c r="K89" s="16" t="n">
        <v>0</v>
      </c>
      <c r="L89" s="14" t="n">
        <v>0</v>
      </c>
      <c r="M89" s="16" t="n">
        <v>0</v>
      </c>
      <c r="N89" s="14" t="n">
        <v>0</v>
      </c>
      <c r="O89" s="14" t="n">
        <v>0</v>
      </c>
      <c r="P89" s="18" t="n">
        <v>1</v>
      </c>
      <c r="Q89" s="22" t="s">
        <v>111</v>
      </c>
      <c r="R89" s="22" t="s">
        <v>111</v>
      </c>
    </row>
    <row r="90" customFormat="false" ht="15" hidden="false" customHeight="false" outlineLevel="0" collapsed="false">
      <c r="F90" s="23"/>
      <c r="H90" s="21" t="s">
        <v>27</v>
      </c>
      <c r="I90" s="9" t="s">
        <v>82</v>
      </c>
      <c r="J90" s="11" t="n">
        <v>542257</v>
      </c>
      <c r="K90" s="19" t="n">
        <v>0.036</v>
      </c>
      <c r="L90" s="11" t="n">
        <v>1233143</v>
      </c>
      <c r="M90" s="19" t="n">
        <v>0.035</v>
      </c>
      <c r="N90" s="11" t="n">
        <v>1775400</v>
      </c>
      <c r="O90" s="11" t="n">
        <v>1775400</v>
      </c>
      <c r="P90" s="20"/>
      <c r="Q90" s="19" t="n">
        <v>0.305</v>
      </c>
      <c r="R90" s="19" t="n">
        <v>0.695</v>
      </c>
    </row>
    <row r="91" customFormat="false" ht="15" hidden="false" customHeight="false" outlineLevel="0" collapsed="false">
      <c r="F91" s="23"/>
      <c r="H91" s="21"/>
      <c r="I91" s="9" t="s">
        <v>83</v>
      </c>
      <c r="J91" s="28" t="n">
        <v>-5313619</v>
      </c>
      <c r="K91" s="29" t="n">
        <v>-0.353</v>
      </c>
      <c r="L91" s="28" t="n">
        <v>-2571672</v>
      </c>
      <c r="M91" s="29" t="n">
        <v>-0.073</v>
      </c>
      <c r="N91" s="28" t="n">
        <v>-7885292</v>
      </c>
      <c r="O91" s="28" t="n">
        <v>-293049</v>
      </c>
      <c r="P91" s="20"/>
      <c r="Q91" s="19" t="n">
        <v>0.674</v>
      </c>
      <c r="R91" s="19" t="n">
        <v>0.326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2026-10-13T08:30:51Z</dcterms:created>
  <dc:creator>openpyxl</dc:creator>
  <dc:description/>
  <dc:language>en-US</dc:language>
  <cp:lastModifiedBy/>
  <dcterms:modified xsi:type="dcterms:W3CDTF">2026-10-13T08:30:52Z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